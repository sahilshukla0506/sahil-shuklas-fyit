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YBCOM sem VI 2024-25\"/>
    </mc:Choice>
  </mc:AlternateContent>
  <xr:revisionPtr revIDLastSave="0" documentId="13_ncr:1_{AFA17023-9794-4874-8AC1-B9292A3E08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F statement" sheetId="1" r:id="rId1"/>
    <sheet name="Nested IF" sheetId="2" r:id="rId2"/>
    <sheet name="Salary calculation" sheetId="3" r:id="rId3"/>
    <sheet name="wages" sheetId="4" r:id="rId4"/>
    <sheet name="salary" sheetId="5" r:id="rId5"/>
    <sheet name="marks" sheetId="7" r:id="rId6"/>
    <sheet name="IT Cal" sheetId="15" r:id="rId7"/>
    <sheet name="conditional FUNCTIONS" sheetId="6" r:id="rId8"/>
    <sheet name="string func" sheetId="8" r:id="rId9"/>
    <sheet name="date time functions" sheetId="9" r:id="rId10"/>
    <sheet name="LOOKUP" sheetId="10" r:id="rId11"/>
    <sheet name="vlookup example" sheetId="20" r:id="rId12"/>
    <sheet name="hlookup ex2" sheetId="21" r:id="rId13"/>
    <sheet name="HLOOKUP EXMAPLE" sheetId="19" r:id="rId14"/>
    <sheet name="charts" sheetId="11" r:id="rId15"/>
    <sheet name="solver" sheetId="12" r:id="rId16"/>
    <sheet name="solver example" sheetId="16" r:id="rId17"/>
    <sheet name="Goal Seek" sheetId="13" r:id="rId18"/>
    <sheet name="scenario" sheetId="22" r:id="rId19"/>
    <sheet name="scenario example" sheetId="23" r:id="rId20"/>
    <sheet name="FILTERS" sheetId="25" r:id="rId21"/>
    <sheet name="THEORY" sheetId="26" r:id="rId22"/>
  </sheets>
  <definedNames>
    <definedName name="solver_adj" localSheetId="15" hidden="1">solver!$C$19:$C$21</definedName>
    <definedName name="solver_adj" localSheetId="16" hidden="1">'solver example'!$C$15:$C$16</definedName>
    <definedName name="solver_cvg" localSheetId="15" hidden="1">0.0001</definedName>
    <definedName name="solver_cvg" localSheetId="16" hidden="1">0.0001</definedName>
    <definedName name="solver_drv" localSheetId="15" hidden="1">1</definedName>
    <definedName name="solver_drv" localSheetId="16" hidden="1">1</definedName>
    <definedName name="solver_est" localSheetId="15" hidden="1">1</definedName>
    <definedName name="solver_est" localSheetId="16" hidden="1">1</definedName>
    <definedName name="solver_itr" localSheetId="15" hidden="1">100</definedName>
    <definedName name="solver_itr" localSheetId="16" hidden="1">100</definedName>
    <definedName name="solver_lin" localSheetId="15" hidden="1">2</definedName>
    <definedName name="solver_lin" localSheetId="16" hidden="1">2</definedName>
    <definedName name="solver_neg" localSheetId="15" hidden="1">2</definedName>
    <definedName name="solver_neg" localSheetId="16" hidden="1">2</definedName>
    <definedName name="solver_num" localSheetId="15" hidden="1">0</definedName>
    <definedName name="solver_num" localSheetId="16" hidden="1">0</definedName>
    <definedName name="solver_nwt" localSheetId="15" hidden="1">1</definedName>
    <definedName name="solver_nwt" localSheetId="16" hidden="1">1</definedName>
    <definedName name="solver_opt" localSheetId="15" hidden="1">solver!$K$22</definedName>
    <definedName name="solver_opt" localSheetId="16" hidden="1">'solver example'!$D$17</definedName>
    <definedName name="solver_pre" localSheetId="15" hidden="1">0.000001</definedName>
    <definedName name="solver_pre" localSheetId="16" hidden="1">0.000001</definedName>
    <definedName name="solver_scl" localSheetId="15" hidden="1">2</definedName>
    <definedName name="solver_scl" localSheetId="16" hidden="1">2</definedName>
    <definedName name="solver_sho" localSheetId="15" hidden="1">2</definedName>
    <definedName name="solver_sho" localSheetId="16" hidden="1">2</definedName>
    <definedName name="solver_tim" localSheetId="15" hidden="1">100</definedName>
    <definedName name="solver_tim" localSheetId="16" hidden="1">100</definedName>
    <definedName name="solver_tol" localSheetId="15" hidden="1">0.05</definedName>
    <definedName name="solver_tol" localSheetId="16" hidden="1">0.05</definedName>
    <definedName name="solver_typ" localSheetId="15" hidden="1">3</definedName>
    <definedName name="solver_typ" localSheetId="16" hidden="1">3</definedName>
    <definedName name="solver_val" localSheetId="15" hidden="1">500000</definedName>
    <definedName name="solver_val" localSheetId="16" hidden="1">10000000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5" l="1"/>
  <c r="E16" i="15"/>
  <c r="E17" i="15"/>
  <c r="E18" i="15"/>
  <c r="E14" i="15"/>
  <c r="D15" i="15"/>
  <c r="D16" i="15"/>
  <c r="D17" i="15"/>
  <c r="D18" i="15"/>
  <c r="D14" i="15"/>
  <c r="C15" i="15"/>
  <c r="C16" i="15"/>
  <c r="C17" i="15"/>
  <c r="C18" i="15"/>
  <c r="C14" i="15"/>
  <c r="C14" i="2"/>
  <c r="C15" i="2"/>
  <c r="C16" i="2"/>
  <c r="C17" i="2"/>
  <c r="C18" i="2"/>
  <c r="C19" i="2"/>
  <c r="C20" i="2"/>
  <c r="C21" i="2"/>
  <c r="C22" i="2"/>
  <c r="C13" i="2"/>
  <c r="G77" i="9"/>
  <c r="N71" i="9"/>
  <c r="N70" i="9"/>
  <c r="D54" i="9"/>
  <c r="B8" i="23"/>
  <c r="B16" i="22"/>
  <c r="D2" i="21"/>
  <c r="C2" i="21"/>
  <c r="D7" i="21"/>
  <c r="D6" i="21"/>
  <c r="D5" i="21"/>
  <c r="D4" i="21"/>
  <c r="D3" i="21"/>
  <c r="C7" i="21"/>
  <c r="C6" i="21"/>
  <c r="C5" i="21"/>
  <c r="C4" i="21"/>
  <c r="C3" i="21"/>
  <c r="D2" i="19"/>
  <c r="C2" i="19"/>
  <c r="D8" i="19"/>
  <c r="C8" i="19"/>
  <c r="D7" i="19"/>
  <c r="C7" i="19"/>
  <c r="D6" i="19"/>
  <c r="C6" i="19"/>
  <c r="D5" i="19"/>
  <c r="C5" i="19"/>
  <c r="D4" i="19"/>
  <c r="C4" i="19"/>
  <c r="D3" i="19"/>
  <c r="C3" i="19"/>
  <c r="E4" i="5"/>
  <c r="D4" i="5"/>
  <c r="C8" i="13"/>
  <c r="D16" i="16"/>
  <c r="D15" i="16"/>
  <c r="D60" i="9"/>
  <c r="D48" i="9"/>
  <c r="D42" i="9"/>
  <c r="D41" i="9"/>
  <c r="D40" i="9"/>
  <c r="D33" i="9"/>
  <c r="D31" i="9"/>
  <c r="D24" i="9"/>
  <c r="D22" i="9"/>
  <c r="D8" i="9"/>
  <c r="D17" i="9"/>
  <c r="D12" i="9"/>
  <c r="D10" i="9"/>
  <c r="D5" i="16"/>
  <c r="D4" i="16"/>
  <c r="D6" i="16" s="1"/>
  <c r="C2" i="13"/>
  <c r="B22" i="11"/>
  <c r="B6" i="13"/>
  <c r="C5" i="13"/>
  <c r="C4" i="13"/>
  <c r="C3" i="13"/>
  <c r="D21" i="12"/>
  <c r="D20" i="12"/>
  <c r="D19" i="12"/>
  <c r="D22" i="11"/>
  <c r="C22" i="11"/>
  <c r="A18" i="8"/>
  <c r="A15" i="8"/>
  <c r="E15" i="7"/>
  <c r="B15" i="7"/>
  <c r="H10" i="7"/>
  <c r="I10" i="7" s="1"/>
  <c r="C69" i="6"/>
  <c r="D61" i="6"/>
  <c r="D60" i="6"/>
  <c r="D67" i="9"/>
  <c r="D66" i="9"/>
  <c r="D65" i="9"/>
  <c r="D61" i="9"/>
  <c r="D59" i="9"/>
  <c r="D49" i="9"/>
  <c r="G15" i="7"/>
  <c r="F15" i="7"/>
  <c r="D15" i="7"/>
  <c r="C15" i="7"/>
  <c r="H13" i="7"/>
  <c r="K13" i="7" s="1"/>
  <c r="H14" i="7"/>
  <c r="K14" i="7" s="1"/>
  <c r="J13" i="7"/>
  <c r="H12" i="7"/>
  <c r="J12" i="7" s="1"/>
  <c r="H11" i="7"/>
  <c r="J11" i="7" s="1"/>
  <c r="E93" i="8"/>
  <c r="E80" i="8"/>
  <c r="A34" i="8"/>
  <c r="A31" i="8"/>
  <c r="J46" i="6"/>
  <c r="H33" i="6"/>
  <c r="H30" i="6"/>
  <c r="H27" i="6"/>
  <c r="H25" i="6"/>
  <c r="H23" i="6"/>
  <c r="J12" i="6"/>
  <c r="E8" i="5"/>
  <c r="E7" i="5"/>
  <c r="E6" i="5"/>
  <c r="E5" i="5"/>
  <c r="D8" i="5"/>
  <c r="D7" i="5"/>
  <c r="D6" i="5"/>
  <c r="D5" i="5"/>
  <c r="F19" i="3"/>
  <c r="E19" i="3"/>
  <c r="D19" i="3"/>
  <c r="G19" i="3" s="1"/>
  <c r="H19" i="3" s="1"/>
  <c r="G22" i="3"/>
  <c r="H22" i="3" s="1"/>
  <c r="E23" i="3"/>
  <c r="E22" i="3"/>
  <c r="E21" i="3"/>
  <c r="E20" i="3"/>
  <c r="F23" i="3"/>
  <c r="F22" i="3"/>
  <c r="F21" i="3"/>
  <c r="F20" i="3"/>
  <c r="D23" i="3"/>
  <c r="G23" i="3" s="1"/>
  <c r="H23" i="3" s="1"/>
  <c r="D22" i="3"/>
  <c r="D21" i="3"/>
  <c r="G21" i="3" s="1"/>
  <c r="D20" i="3"/>
  <c r="G20" i="3" s="1"/>
  <c r="E9" i="5" l="1"/>
  <c r="F16" i="7"/>
  <c r="H20" i="3"/>
  <c r="H21" i="3"/>
  <c r="J10" i="7"/>
  <c r="K10" i="7"/>
  <c r="C6" i="13"/>
  <c r="E12" i="20"/>
  <c r="D17" i="16"/>
  <c r="D22" i="12"/>
  <c r="K12" i="7"/>
  <c r="K11" i="7"/>
  <c r="I14" i="7"/>
  <c r="J14" i="7"/>
  <c r="I12" i="7"/>
  <c r="I11" i="7"/>
  <c r="I13" i="7"/>
</calcChain>
</file>

<file path=xl/sharedStrings.xml><?xml version="1.0" encoding="utf-8"?>
<sst xmlns="http://schemas.openxmlformats.org/spreadsheetml/2006/main" count="798" uniqueCount="631">
  <si>
    <t>Grade</t>
  </si>
  <si>
    <t>Basic</t>
  </si>
  <si>
    <t>DA</t>
  </si>
  <si>
    <t>HRA</t>
  </si>
  <si>
    <t>A</t>
  </si>
  <si>
    <t>B</t>
  </si>
  <si>
    <t>C</t>
  </si>
  <si>
    <t>Find DA as 60% of Basic Salary</t>
  </si>
  <si>
    <t xml:space="preserve">Find HRA as 10% of Basic Salary if Basic Salary is more than 35000 Otherwise HRA 12% of Basic </t>
  </si>
  <si>
    <t xml:space="preserve">Formula for DA is </t>
  </si>
  <si>
    <t xml:space="preserve">   = B2*60%</t>
  </si>
  <si>
    <t xml:space="preserve">  =IF(B5&gt;35000, B5*10%,B5*12%)</t>
  </si>
  <si>
    <t xml:space="preserve">Formula for HRA is </t>
  </si>
  <si>
    <t>A college awards grades to students based on the marks they get,</t>
  </si>
  <si>
    <t>per the following table</t>
  </si>
  <si>
    <t>Marks</t>
  </si>
  <si>
    <t>0 - 59</t>
  </si>
  <si>
    <t>60 - 69</t>
  </si>
  <si>
    <t>70 - 79</t>
  </si>
  <si>
    <t>80 - 89</t>
  </si>
  <si>
    <t>90 - 100</t>
  </si>
  <si>
    <t>F</t>
  </si>
  <si>
    <t>D</t>
  </si>
  <si>
    <t>RollNo</t>
  </si>
  <si>
    <t xml:space="preserve">Formula is </t>
  </si>
  <si>
    <t xml:space="preserve">  =IF(B13&gt;=90,"A", IF(B13&gt;=80,"B",IF(B13&gt;=70,"C",IF(B13&gt;=60,"D","F"))))</t>
  </si>
  <si>
    <t>IF Statement</t>
  </si>
  <si>
    <t>IF(logical test, valueT, value F)</t>
  </si>
  <si>
    <t xml:space="preserve">Tests if the logical test expression is TRUE or FALSE. If True the IF function returns valueT, </t>
  </si>
  <si>
    <t>If False the IF function returns valueF</t>
  </si>
  <si>
    <t>Example</t>
  </si>
  <si>
    <t>Calculation of DA, HRA, PF, Gross Salary and Net Salary using MS-Excel</t>
  </si>
  <si>
    <t>Prepare a worksheet containing names and Basic Salary of 5 employees.</t>
  </si>
  <si>
    <t>EMPNO</t>
  </si>
  <si>
    <t>EmpName</t>
  </si>
  <si>
    <t>Basic Salary</t>
  </si>
  <si>
    <t>PF</t>
  </si>
  <si>
    <t>Gross Salary</t>
  </si>
  <si>
    <t>Net Salary</t>
  </si>
  <si>
    <t>Disha</t>
  </si>
  <si>
    <t>Prachi</t>
  </si>
  <si>
    <t>Deepak</t>
  </si>
  <si>
    <t>Jai</t>
  </si>
  <si>
    <t>Amit</t>
  </si>
  <si>
    <t>DA is 20% of Basic Salary</t>
  </si>
  <si>
    <t>HRA -&gt; If basic salary is &gt;=30000, HRA is 35% of basic salary</t>
  </si>
  <si>
    <t xml:space="preserve"> If basic salary is &gt;=20000 but less than 30000, HRA is 25% of basic salary</t>
  </si>
  <si>
    <t xml:space="preserve"> If basic salary is &lt;20000, HRA is 20% of basic salary</t>
  </si>
  <si>
    <t>PF is 12% of Basic salary</t>
  </si>
  <si>
    <t>Gross Salary =Basic salary+DA+HRA</t>
  </si>
  <si>
    <t>Net Salary=gross Salary - PF</t>
  </si>
  <si>
    <t>For DA</t>
  </si>
  <si>
    <t xml:space="preserve">   =C19*20% or you can type = C19*20/100. Drag the formula , you will</t>
  </si>
  <si>
    <t>observe that cell reference changes automatically</t>
  </si>
  <si>
    <t>For HRA</t>
  </si>
  <si>
    <t xml:space="preserve">    =IF(C19&gt;=30000,C19*35%, IF(C19&gt;=20000, C19*35%,C19*20%))</t>
  </si>
  <si>
    <t>If condition has 3 parts</t>
  </si>
  <si>
    <t>i) Test Condition</t>
  </si>
  <si>
    <t>ii) Formula to use if test condition is true</t>
  </si>
  <si>
    <t>iii) Formula to use if test condition is false</t>
  </si>
  <si>
    <t xml:space="preserve">The 1st part of formula is if bs&gt;=30000, use value C19*35% </t>
  </si>
  <si>
    <t>But if the test condition is false it will directly jump to the 3rd condition</t>
  </si>
  <si>
    <t>Drag the formula , you will observe that cell reference changes automatically</t>
  </si>
  <si>
    <t>For PF</t>
  </si>
  <si>
    <t xml:space="preserve">   =C19*12%</t>
  </si>
  <si>
    <t>For Gross Salary</t>
  </si>
  <si>
    <t xml:space="preserve">    =SUM(C19:E19)</t>
  </si>
  <si>
    <t>For Net Salary</t>
  </si>
  <si>
    <t xml:space="preserve">   =G19-F19</t>
  </si>
  <si>
    <t>EmpNo</t>
  </si>
  <si>
    <t>Hours Worked</t>
  </si>
  <si>
    <t>Wages</t>
  </si>
  <si>
    <t>Q234</t>
  </si>
  <si>
    <t>R567</t>
  </si>
  <si>
    <t>E987</t>
  </si>
  <si>
    <t>T379</t>
  </si>
  <si>
    <t>K237</t>
  </si>
  <si>
    <t>I</t>
  </si>
  <si>
    <t>III</t>
  </si>
  <si>
    <t>II</t>
  </si>
  <si>
    <t>Write steps to compute wages in column D.</t>
  </si>
  <si>
    <t>Rate per hour is 500, 400 and 200 for Grade I, II and III respectively</t>
  </si>
  <si>
    <t>Steps</t>
  </si>
  <si>
    <t xml:space="preserve">  1. Select D2 and type =IF(C2="I",B2*500,IF(C2="II",B2*400,B2*200))</t>
  </si>
  <si>
    <t xml:space="preserve">  2. Select D2 drag the fill handle to D6</t>
  </si>
  <si>
    <t>Consider following worksheet</t>
  </si>
  <si>
    <t>Dept</t>
  </si>
  <si>
    <t>Salary</t>
  </si>
  <si>
    <t>Allowance</t>
  </si>
  <si>
    <t>Bonus</t>
  </si>
  <si>
    <t>S234</t>
  </si>
  <si>
    <t>H533</t>
  </si>
  <si>
    <t>K254</t>
  </si>
  <si>
    <t>W123</t>
  </si>
  <si>
    <t>Y654</t>
  </si>
  <si>
    <t>Export</t>
  </si>
  <si>
    <t>Sales</t>
  </si>
  <si>
    <t>Accounts</t>
  </si>
  <si>
    <t>HR</t>
  </si>
  <si>
    <t>Admin</t>
  </si>
  <si>
    <t>Write steps to perform the following</t>
  </si>
  <si>
    <t>i) To compute allowance @ 1% of the salary for salary upto 25000</t>
  </si>
  <si>
    <t>otherwise @2% of the salary in Column D</t>
  </si>
  <si>
    <t>ii) To find Bonus @20% of the salary for salary above 30000</t>
  </si>
  <si>
    <t>iii) To find total bonus of all employees whose salary is below 25000 in cell E8</t>
  </si>
  <si>
    <t>otherwise @14% of the salary in Column E</t>
  </si>
  <si>
    <t>COUNT IF -&gt;</t>
  </si>
  <si>
    <t>Counts the number of cells within a range that meet the given criteria.</t>
  </si>
  <si>
    <t>Syntax is -&gt; countif(range,criteria)</t>
  </si>
  <si>
    <t>Criteria -&gt; is the criteria in the form of number, expression, or text that</t>
  </si>
  <si>
    <t>defines which cells will be counted.</t>
  </si>
  <si>
    <t>Range -&gt; is the range of cells to count. Blank and text values are ignored</t>
  </si>
  <si>
    <t xml:space="preserve">Following worksheet contains marks obtained by students </t>
  </si>
  <si>
    <t>Display total number of students securing less than 35 marks</t>
  </si>
  <si>
    <t xml:space="preserve">Marks </t>
  </si>
  <si>
    <t>Using Wildcard characters in COUNTIF:-</t>
  </si>
  <si>
    <t>We can use wildcard characters such as question mark (?) and asterisk (*) in criteria</t>
  </si>
  <si>
    <t>A question mark matches a single character</t>
  </si>
  <si>
    <t>An asterisk matches any sequence of characters</t>
  </si>
  <si>
    <t>If we want to find an actual question mark or asterisk, typr tilde (~) before character</t>
  </si>
  <si>
    <t>For example</t>
  </si>
  <si>
    <t>Following worksheet contains name of fruits.</t>
  </si>
  <si>
    <t>Apples</t>
  </si>
  <si>
    <t>Oranges</t>
  </si>
  <si>
    <t>Pineapple</t>
  </si>
  <si>
    <t>Mango</t>
  </si>
  <si>
    <t>Grapes</t>
  </si>
  <si>
    <t>Strawberry</t>
  </si>
  <si>
    <t>To display number of cells ending with "es"</t>
  </si>
  <si>
    <t xml:space="preserve">   =countif(A20:G20,"*es")</t>
  </si>
  <si>
    <t>To display number of cells ending with "apple"</t>
  </si>
  <si>
    <t>Custartd apple</t>
  </si>
  <si>
    <t>To display number of cells containing</t>
  </si>
  <si>
    <t xml:space="preserve"> anywhere  "ng"</t>
  </si>
  <si>
    <t xml:space="preserve"> =countif(A20:G20,"*apple")</t>
  </si>
  <si>
    <t xml:space="preserve">   =countif(A20:G20,"*ng*")</t>
  </si>
  <si>
    <t xml:space="preserve"> anywhere  "b"</t>
  </si>
  <si>
    <t xml:space="preserve">   =countif(A20:G20,"*b*")</t>
  </si>
  <si>
    <t xml:space="preserve"> exactly 5 characters</t>
  </si>
  <si>
    <t xml:space="preserve">   =countif(A20:G20,"?????")</t>
  </si>
  <si>
    <t>SUM IF -&gt;</t>
  </si>
  <si>
    <t>Adds the cells which satisfy a given criteria</t>
  </si>
  <si>
    <t>Syntax is -&gt;  SUMIF(range,criteria,sum_range)</t>
  </si>
  <si>
    <t>Range is the range of cells that must be evaluated by criteria</t>
  </si>
  <si>
    <t>Criteria is condition which invlove comparison operators such as &gt;, &lt;=, &gt;=, &lt; = etc</t>
  </si>
  <si>
    <t>Sum_range is the actual cells to add if their corresponding cells in range match</t>
  </si>
  <si>
    <t xml:space="preserve">the criteria. </t>
  </si>
  <si>
    <t>Display sum of marks if marks  &gt;=35 marks</t>
  </si>
  <si>
    <t xml:space="preserve">  =SUMIF(B45:I45,"&gt;=35")</t>
  </si>
  <si>
    <t xml:space="preserve">  =COUNTIF(B11:I11,"&lt;35")</t>
  </si>
  <si>
    <t>eng</t>
  </si>
  <si>
    <t>hindi</t>
  </si>
  <si>
    <t>eco</t>
  </si>
  <si>
    <t>bk</t>
  </si>
  <si>
    <t>AVERAGEIF -&gt;</t>
  </si>
  <si>
    <t>Returns the average of all the cells in range that meet given criteria</t>
  </si>
  <si>
    <t>Syntax :-  averageif(range,criteria,average_range)</t>
  </si>
  <si>
    <t>Range is one or more cells to average</t>
  </si>
  <si>
    <t xml:space="preserve">Average_range is the actual set of cells to average. </t>
  </si>
  <si>
    <t xml:space="preserve">Following worksheet contains age of Males and Females </t>
  </si>
  <si>
    <t>Find Average age of males and females</t>
  </si>
  <si>
    <t>Gender</t>
  </si>
  <si>
    <t>M</t>
  </si>
  <si>
    <t>Age</t>
  </si>
  <si>
    <t>Average Male Age</t>
  </si>
  <si>
    <t>Average FeMale Age</t>
  </si>
  <si>
    <t xml:space="preserve">  =AVERAGEIF(B57:I57,"M",B58:I58)</t>
  </si>
  <si>
    <t xml:space="preserve">  =AVERAGEIF(B57:I57,"F",B58:I58)</t>
  </si>
  <si>
    <t xml:space="preserve">Teacher has stored marks of exam and wish to calculate average marks of class, </t>
  </si>
  <si>
    <t>but excluding absent students</t>
  </si>
  <si>
    <t>Roll No</t>
  </si>
  <si>
    <t>AB</t>
  </si>
  <si>
    <t xml:space="preserve">Average is </t>
  </si>
  <si>
    <t xml:space="preserve">  =AVERAGEIF(B66:J66,"&gt;=0",B66:J66)</t>
  </si>
  <si>
    <t>Conditional Logic Function</t>
  </si>
  <si>
    <t>STRING FUNCTIONS</t>
  </si>
  <si>
    <t xml:space="preserve">A string is acollection of characters enclosed between quotation </t>
  </si>
  <si>
    <t>For Example</t>
  </si>
  <si>
    <t>"University of Mumbai"          "2389"</t>
  </si>
  <si>
    <t>LEFT  -&gt;</t>
  </si>
  <si>
    <t>Purpose:- Returns a string of characters of a specified length from</t>
  </si>
  <si>
    <t>another string, beginning at the leftmost position</t>
  </si>
  <si>
    <t>Syntax :- LEFT(text,num_chars)</t>
  </si>
  <si>
    <t>Text is the text string that contains the characters you want to extract</t>
  </si>
  <si>
    <t>Num_chars specifies how many characters you want the function to extract</t>
  </si>
  <si>
    <t xml:space="preserve">   =LEFT("Commerce",3)</t>
  </si>
  <si>
    <t>will return Com</t>
  </si>
  <si>
    <t xml:space="preserve">    =LEFT("Commerce")</t>
  </si>
  <si>
    <t>returns the left most character C, since we have not specified the number of</t>
  </si>
  <si>
    <t>characters and the default is 1 character.</t>
  </si>
  <si>
    <t>RIGHT  -&gt;</t>
  </si>
  <si>
    <t>another string, beginning at the rightmost position</t>
  </si>
  <si>
    <t>Syntax :- RIGHT(text,num_chars)</t>
  </si>
  <si>
    <t xml:space="preserve">  =RIGHT("Commerce",5)</t>
  </si>
  <si>
    <t>will return merce</t>
  </si>
  <si>
    <t xml:space="preserve">  =RIGHT("Commerce")</t>
  </si>
  <si>
    <t>returns the right most character e, since we have not specified the number of</t>
  </si>
  <si>
    <t>MID  -&gt;</t>
  </si>
  <si>
    <t>Purpose:- The MID function returns specific number of characters</t>
  </si>
  <si>
    <t xml:space="preserve">from  a text string, starting at the position you specify </t>
  </si>
  <si>
    <t>Syntax -&gt; MID(text, start-position,no of chars)</t>
  </si>
  <si>
    <t xml:space="preserve">Start-position is th position of the first character you want to extract </t>
  </si>
  <si>
    <t>Sting Value</t>
  </si>
  <si>
    <t xml:space="preserve">Formula </t>
  </si>
  <si>
    <t>Result</t>
  </si>
  <si>
    <t>MUMBAI</t>
  </si>
  <si>
    <t>TELEVISION</t>
  </si>
  <si>
    <t>MOBILE</t>
  </si>
  <si>
    <t>VISION</t>
  </si>
  <si>
    <t>MBA</t>
  </si>
  <si>
    <t xml:space="preserve">  =MID(A49,3,3)</t>
  </si>
  <si>
    <t>MUM</t>
  </si>
  <si>
    <t xml:space="preserve">   =MID(A50,1,3)</t>
  </si>
  <si>
    <t>BA</t>
  </si>
  <si>
    <t xml:space="preserve">   =MID(A51,4,2)</t>
  </si>
  <si>
    <t xml:space="preserve"> =MID(A52,5,10)</t>
  </si>
  <si>
    <t xml:space="preserve">   =MID(A53,8,4)</t>
  </si>
  <si>
    <t xml:space="preserve">  =MID(A54,-1,4)</t>
  </si>
  <si>
    <t xml:space="preserve">  =MID(A55,6,3)</t>
  </si>
  <si>
    <t>LEN -&gt;</t>
  </si>
  <si>
    <t>Purpose :- Returns the number of characters in a text string</t>
  </si>
  <si>
    <t>Syntax :-  LEN(text)</t>
  </si>
  <si>
    <t>Text :- is the the text whose length you want to find. Spaces are also included</t>
  </si>
  <si>
    <t xml:space="preserve">   = LEN("Maharashtra")   returns value 11</t>
  </si>
  <si>
    <t xml:space="preserve">   =LEN("") returns the value 0</t>
  </si>
  <si>
    <t xml:space="preserve">  =LEN("New delhi") returns value 9</t>
  </si>
  <si>
    <t xml:space="preserve">  =LEN(" PUNE") returns value 5, since there is a space in beginning</t>
  </si>
  <si>
    <t>UPPER -&gt;</t>
  </si>
  <si>
    <t>Purpose :- Converts all lowercase letters in a text string to uppercase</t>
  </si>
  <si>
    <t>Syntax :- upper(text)</t>
  </si>
  <si>
    <t xml:space="preserve">   =UPPER("History") returns the value HISTORY</t>
  </si>
  <si>
    <t xml:space="preserve">  =UPPER("commerce") returns the value COMMERCE</t>
  </si>
  <si>
    <t xml:space="preserve">   =UPPER("cOmMeRce") returns the avlue COMMERCE</t>
  </si>
  <si>
    <t xml:space="preserve">  =UPPER("ARTS") returns value ARTS i.e no change as all letters are </t>
  </si>
  <si>
    <t>already in upper case</t>
  </si>
  <si>
    <t>tybcom commerce</t>
  </si>
  <si>
    <t>LOWER -&gt;</t>
  </si>
  <si>
    <t>Purpose :- Converts all uppercase letters in a text string to lowercase</t>
  </si>
  <si>
    <t>Syntax :- lower(text)</t>
  </si>
  <si>
    <t xml:space="preserve">   =LOWER("History") returns the value history</t>
  </si>
  <si>
    <t xml:space="preserve">  =LOWER("COMMERCE") returns the value commerce</t>
  </si>
  <si>
    <t xml:space="preserve">   =LOWER("cOmMeRce") returns the avlue commerce</t>
  </si>
  <si>
    <t xml:space="preserve">  =LOWER("arts") returns value arts i.e no change as all letters are </t>
  </si>
  <si>
    <t>already in lower case</t>
  </si>
  <si>
    <t>TYBCOM COMMERCE</t>
  </si>
  <si>
    <t>PROPER -&gt;</t>
  </si>
  <si>
    <t>Purpose :- Capitalizes the first letter in  a text string and any other letters</t>
  </si>
  <si>
    <t xml:space="preserve">in text that follow any character other than a letter. Converts all other </t>
  </si>
  <si>
    <t>letters to lower case letters.</t>
  </si>
  <si>
    <t>Syntax :- PROPER(text)</t>
  </si>
  <si>
    <t xml:space="preserve">   =PROPER("this is an example") returns This Is An Example</t>
  </si>
  <si>
    <t xml:space="preserve">   = PROPER("new delhi") returns New Delhi</t>
  </si>
  <si>
    <t xml:space="preserve">  =PROPER("mh-02-a-12p4") returns Mh-02-A-12P4</t>
  </si>
  <si>
    <t>TRIM - &gt;</t>
  </si>
  <si>
    <t>Purpose :- Removes all spaces from text except for single spaces between words</t>
  </si>
  <si>
    <t>Syntax :- TRIM(text)</t>
  </si>
  <si>
    <t xml:space="preserve">  =TRIM("TYBcom   Computer    Systems") returns TYBcom Computer Systems </t>
  </si>
  <si>
    <t xml:space="preserve">  =TRIM("      TYBcom Computer Systems      ") returns TYBcom Computer Systems </t>
  </si>
  <si>
    <t>FIXED -&gt;</t>
  </si>
  <si>
    <t>in decimal format using a period and commas, and returns the result as text.</t>
  </si>
  <si>
    <t>Syntax :- FIXED(number, decimals, no_commas)</t>
  </si>
  <si>
    <t>Purpose :- Rounds a number to the specifed number of decimals, formats the number</t>
  </si>
  <si>
    <t>Number is the number you want to round &amp; convert to text</t>
  </si>
  <si>
    <t>Decimals is number of digits to the right of the decimal point</t>
  </si>
  <si>
    <t>No_commas is the logical value that, if TRUE, prevents FIXED from including commas in the</t>
  </si>
  <si>
    <t>returned text.</t>
  </si>
  <si>
    <t xml:space="preserve">   =FIXED(1234.567,2)   returns 1,234.57</t>
  </si>
  <si>
    <t xml:space="preserve">    =FIXED(-1234.57,-1) returns -1230</t>
  </si>
  <si>
    <t xml:space="preserve"> </t>
  </si>
  <si>
    <t>Maths</t>
  </si>
  <si>
    <t>Acc</t>
  </si>
  <si>
    <t>Total</t>
  </si>
  <si>
    <t>Percentage</t>
  </si>
  <si>
    <t>Name</t>
  </si>
  <si>
    <t>Anjali</t>
  </si>
  <si>
    <t>Pooja</t>
  </si>
  <si>
    <t>Sagar</t>
  </si>
  <si>
    <t>Namrta</t>
  </si>
  <si>
    <t>Avinash</t>
  </si>
  <si>
    <t>Highest Average Marks</t>
  </si>
  <si>
    <t xml:space="preserve"> obtained by each student in all the six subjects, and percenatge of marks (up to 2 </t>
  </si>
  <si>
    <t>Also compute the average marks in each subject excluding absent scores if any.</t>
  </si>
  <si>
    <t>Add column Grade which will compute grade of each student.</t>
  </si>
  <si>
    <t>Marks 450-600 Grade A, Marks 360-449 Grade B, Marks 300-359 Grade C Marks &lt;300 Grade F</t>
  </si>
  <si>
    <t>Formula for Total Marks</t>
  </si>
  <si>
    <t xml:space="preserve">  =SUM(B10:G10)</t>
  </si>
  <si>
    <t xml:space="preserve">  =H10*100/600</t>
  </si>
  <si>
    <t>Formula for Percentage</t>
  </si>
  <si>
    <t xml:space="preserve">   =IF(H10&gt;=240,"PASS","FAIL")</t>
  </si>
  <si>
    <t>Formula for Result</t>
  </si>
  <si>
    <t xml:space="preserve"> Result is PASS else Result is FAIL. Also print the highest aggregate marks obtained.</t>
  </si>
  <si>
    <t>decimal places). If total marks obtained by a student is greater than or equal to 240,</t>
  </si>
  <si>
    <t xml:space="preserve">  =AVERAGEIF(B10:B14,"&gt;=0",B10:B14)</t>
  </si>
  <si>
    <t>Formula for average marks in each subject excluding absent scores if any.</t>
  </si>
  <si>
    <t xml:space="preserve">  =MAX(B15:G15)</t>
  </si>
  <si>
    <t>Formula for highest Average marks</t>
  </si>
  <si>
    <t xml:space="preserve">  =IF(H10&gt;=450,"A",IF(H10&gt;=360,"B",IF(H10&gt;=300,"C",IF(H10&lt;300,"F"))))</t>
  </si>
  <si>
    <t>Formula for Grade</t>
  </si>
  <si>
    <t>DATE &amp; TIME FUNCTIONS</t>
  </si>
  <si>
    <t>Today -&gt;</t>
  </si>
  <si>
    <t>Purpose :- Returns the current date</t>
  </si>
  <si>
    <t>Syntax :- today()</t>
  </si>
  <si>
    <t>Now -&gt;</t>
  </si>
  <si>
    <t xml:space="preserve">Purpose :- Returns the current Date and Time </t>
  </si>
  <si>
    <t>Syntax :- now()</t>
  </si>
  <si>
    <t>Date -&gt;</t>
  </si>
  <si>
    <t xml:space="preserve">Purpose :- Displays a date based on three arguments </t>
  </si>
  <si>
    <t>Syntax :- Date(year, month, day)</t>
  </si>
  <si>
    <t xml:space="preserve">  =DATE(2013,12,21)  will return 12/21/2013</t>
  </si>
  <si>
    <t xml:space="preserve">  =DATE(2013,23,25) will return 11/25/2014</t>
  </si>
  <si>
    <t>Since we have put month as 23, it will be</t>
  </si>
  <si>
    <t>treated as 11th month on next year</t>
  </si>
  <si>
    <t>Time -&gt;</t>
  </si>
  <si>
    <t>Purpose :- Returns a particular time in hh:mm AM/PM form</t>
  </si>
  <si>
    <t>Syntax :- Time(hours, minutes,seconds)</t>
  </si>
  <si>
    <t xml:space="preserve">  =TIME(15,12,35) will return 3:12 PM</t>
  </si>
  <si>
    <t xml:space="preserve">  =TIME(25,0,0) will return 1:00 AM</t>
  </si>
  <si>
    <t xml:space="preserve">Since we have given hours as 25, it will be converted </t>
  </si>
  <si>
    <t>as follows : 25 - 24 =1</t>
  </si>
  <si>
    <t>Day -&gt;</t>
  </si>
  <si>
    <t>Purpose :- Returns the day of the month for a date. This value will be between 1-31`</t>
  </si>
  <si>
    <t>Syntax :- day(date)</t>
  </si>
  <si>
    <t xml:space="preserve">  =DAY("3/1/2013") will return 1</t>
  </si>
  <si>
    <t>WeekDay -&gt;</t>
  </si>
  <si>
    <t>Purpose:- Return the day of the week for a date</t>
  </si>
  <si>
    <t>Syntax :- weekday(date,return_type)</t>
  </si>
  <si>
    <t xml:space="preserve">  =WEEKDAY("1/12/2018",1) will return 6</t>
  </si>
  <si>
    <t>Days360 -&gt;</t>
  </si>
  <si>
    <t xml:space="preserve">Purpose:- Returns the number of days between two dates based on 360 day year </t>
  </si>
  <si>
    <t>Syntax :- days360(startdate, enddate)</t>
  </si>
  <si>
    <t>Month -&gt;</t>
  </si>
  <si>
    <t>Purpose:- Returns the month corresponding to the date</t>
  </si>
  <si>
    <t>Syntax :- month(date)</t>
  </si>
  <si>
    <t xml:space="preserve">  =MONTH("3/4/2013") will return 3</t>
  </si>
  <si>
    <t xml:space="preserve">  =MONTH("08-july-2018") will return 7</t>
  </si>
  <si>
    <t>Year -&gt;</t>
  </si>
  <si>
    <t>Purpose:- Returns the year corresponding to the date</t>
  </si>
  <si>
    <t>Syntax :- year(date)</t>
  </si>
  <si>
    <t xml:space="preserve">  =YEAR("12/13/2013") returns 2013</t>
  </si>
  <si>
    <t xml:space="preserve">  =YEAR(TODAY()) will retrun 2018</t>
  </si>
  <si>
    <t xml:space="preserve">  =YEAR(NOW()) will return 2018</t>
  </si>
  <si>
    <t>DATABASE FUNCTIONS</t>
  </si>
  <si>
    <t>of data. It returns a value from the same position in the second row</t>
  </si>
  <si>
    <t>(or second column)</t>
  </si>
  <si>
    <t>Purpose :- This function looks up a value in a single row (or a single column)</t>
  </si>
  <si>
    <t>Syntax:- LOOKUP(lookup value, lookup range, result range)</t>
  </si>
  <si>
    <t>The values in lookup range can be text, numbers or logical values</t>
  </si>
  <si>
    <t>Lookup range:- It is a range that contains only one row or one column.</t>
  </si>
  <si>
    <t>Lookup value:- It is a value that LOOKUP searches for in the lookup range.</t>
  </si>
  <si>
    <t>lookup value can be text, numbers or logical value or the address of the</t>
  </si>
  <si>
    <t>cell that contains the value. This value is also called as key value.</t>
  </si>
  <si>
    <t>Result range:- A range that contains only one row or column. It must</t>
  </si>
  <si>
    <t>be the same size as lookup range.</t>
  </si>
  <si>
    <t>LOOKUP -&gt;</t>
  </si>
  <si>
    <t>VLOOKUP -&gt;</t>
  </si>
  <si>
    <t xml:space="preserve">Purpose:- The Vlookup function allows you to look up values </t>
  </si>
  <si>
    <t xml:space="preserve">in the first column of a range of values (table) and returns a </t>
  </si>
  <si>
    <t>value in the same row from another column in the table.</t>
  </si>
  <si>
    <t>Syntax :- VLOOKUP(lookup value, table range,column number, range lookup)</t>
  </si>
  <si>
    <t>Lookup value:- The value to search in the first column of the table. Lookup</t>
  </si>
  <si>
    <t>value can be a value or a cell address.</t>
  </si>
  <si>
    <t>Table range:- It is two or more columns of data. We must use range address</t>
  </si>
  <si>
    <t xml:space="preserve">or range name. The values in the first column of table range are the values </t>
  </si>
  <si>
    <t>searched by lookup value. These values can be text, numbers or logical values.</t>
  </si>
  <si>
    <t xml:space="preserve">Column number:- The column number is table range from which the matching </t>
  </si>
  <si>
    <t xml:space="preserve">value must be returned. </t>
  </si>
  <si>
    <t>Range lookup:- A logical value that specifies whether we want VLOOKUP to</t>
  </si>
  <si>
    <t>find an exact match or an approximate match. Use TRUE or omit this value</t>
  </si>
  <si>
    <t>to find approximate match, use FALSE to find exact match.</t>
  </si>
  <si>
    <t>HLOOKUP -&gt;</t>
  </si>
  <si>
    <t>Purpose:- The Hlookup function searches for  a value in the first</t>
  </si>
  <si>
    <t>row of the table and returns the corresponding value in the same</t>
  </si>
  <si>
    <t>column from another row in table array. Thus, this function is similar</t>
  </si>
  <si>
    <t>to Vlookup function but searches horizontally</t>
  </si>
  <si>
    <t>Syntax :- HLOOKUP(lookup value, table range,column number, range lookup)</t>
  </si>
  <si>
    <t>Lookup value:- The value to search in the first row of the table. Lookup</t>
  </si>
  <si>
    <t>Table range:- It is two or more rows of data. We must use range address</t>
  </si>
  <si>
    <t xml:space="preserve">Row number:- The row number is table range from which the matching </t>
  </si>
  <si>
    <t>Range lookup:- A logical value that specifies whether we want HLOOKUP to</t>
  </si>
  <si>
    <t>The following data is entered in a worksheet reagrding sales (in crores)</t>
  </si>
  <si>
    <t>during the years 2005, 2010 and 2015</t>
  </si>
  <si>
    <t>Product No</t>
  </si>
  <si>
    <t>Write steps to</t>
  </si>
  <si>
    <t xml:space="preserve">i) Find the total sales in each year </t>
  </si>
  <si>
    <t>ii) Create Column Chart for total sales in 2005, 2010 and 2015</t>
  </si>
  <si>
    <t>iii) Create a Pie Chart for the sales 2010</t>
  </si>
  <si>
    <t>iv) Create Line Diagram for the sales in 2005 and 2015</t>
  </si>
  <si>
    <t xml:space="preserve">Total </t>
  </si>
  <si>
    <t>SOLVER -&gt;</t>
  </si>
  <si>
    <t>Solver is a What if analysis tool, which finds the optinum value in a target</t>
  </si>
  <si>
    <t>two or more unknown values have to be determined, Solver can be used.</t>
  </si>
  <si>
    <t>A company makes three products Bats, Racquets and Footballs whose sale price</t>
  </si>
  <si>
    <t xml:space="preserve">is Rs 300, Rs 200 and Rs 150 respectively. For the company to break even, it has </t>
  </si>
  <si>
    <t xml:space="preserve">to achive a total sale of Rs 5,00,000 in a year. Using Sover, find out the number </t>
  </si>
  <si>
    <t>of units of each of these three products that should be sold in order to meet the</t>
  </si>
  <si>
    <t>desired target sale.</t>
  </si>
  <si>
    <t>Bat</t>
  </si>
  <si>
    <t>Football</t>
  </si>
  <si>
    <t>Raquets</t>
  </si>
  <si>
    <t>Steps :-</t>
  </si>
  <si>
    <t>1) In A1 type 300, A2 type 200 and A3 type 150</t>
  </si>
  <si>
    <t xml:space="preserve">2) Type 0 in the cells B1,B2 and B3 </t>
  </si>
  <si>
    <t>3) Select C1 and type =A1*B1</t>
  </si>
  <si>
    <t>4) Select C1 and drag the fill handle to C3</t>
  </si>
  <si>
    <t>5) Select C4 and type =sum(C1:C3). This is total sales to be achived</t>
  </si>
  <si>
    <t>6) In D1 type Bat, D2 type Racquet and in D3 type Football</t>
  </si>
  <si>
    <t>7) Select C4 and from the Data tab Select Solver</t>
  </si>
  <si>
    <t xml:space="preserve">8) In Dialog box, in set target cell option C4 is already selected </t>
  </si>
  <si>
    <t>9) In equal to option there is Max, Min and value.</t>
  </si>
  <si>
    <t>Max is selected when we want to increase the Goal to largest Value</t>
  </si>
  <si>
    <t>Min is selected when we want to decrease the Goal to smallest Value</t>
  </si>
  <si>
    <t>Select Value of and type 500000 in the text box</t>
  </si>
  <si>
    <t>10) Then click on Solve button, when solver will obtain result click on OK</t>
  </si>
  <si>
    <t>11) Round the numbers by using decrease decimal option from home Tab</t>
  </si>
  <si>
    <t>Ajay</t>
  </si>
  <si>
    <t>Cost Centers</t>
  </si>
  <si>
    <t>Amount in 2014</t>
  </si>
  <si>
    <t>Amount in 2020</t>
  </si>
  <si>
    <t>Fees</t>
  </si>
  <si>
    <t>Hostel Charges</t>
  </si>
  <si>
    <t>Food &amp; Clothing</t>
  </si>
  <si>
    <t>Miscellaneous</t>
  </si>
  <si>
    <t>Total Amount Required</t>
  </si>
  <si>
    <t>Prepare a worksheet containing the Name and Taxable income</t>
  </si>
  <si>
    <t xml:space="preserve">Carry out following </t>
  </si>
  <si>
    <t>1) Obtain Income Tax using following income tax slabs</t>
  </si>
  <si>
    <t>Taxable Income</t>
  </si>
  <si>
    <t>Rate</t>
  </si>
  <si>
    <t>First 1,00,000</t>
  </si>
  <si>
    <t>Nil</t>
  </si>
  <si>
    <t>Next 60,000</t>
  </si>
  <si>
    <t>Next 70,000</t>
  </si>
  <si>
    <t>Excess</t>
  </si>
  <si>
    <t>those whose taxable income  is above 5,00,000</t>
  </si>
  <si>
    <t>3) Obtain total tax  as sum of income tax and surcharge</t>
  </si>
  <si>
    <t>Income Tax</t>
  </si>
  <si>
    <t>Surcharge</t>
  </si>
  <si>
    <t>Total Tax</t>
  </si>
  <si>
    <t>Priya</t>
  </si>
  <si>
    <t>Meena</t>
  </si>
  <si>
    <t>Sunil</t>
  </si>
  <si>
    <t xml:space="preserve">  =IF(B14&lt;=100000,0, IF(B14&lt;=160000,(B14-100000)*10%,IF(B14&lt;=230000,60000*10%+(B14-160000)*20%,60000*10%+70000*20%+(B14-230000)*30%)))</t>
  </si>
  <si>
    <t>2) Obtain surcharge , where surcharge is 3% of the income tax for</t>
  </si>
  <si>
    <t>To calculate Income Tax formula is :-</t>
  </si>
  <si>
    <t>To calculate Surcharge formula is :-</t>
  </si>
  <si>
    <t xml:space="preserve">   =IF(B14&gt;500000,C14*3%,0)</t>
  </si>
  <si>
    <t>To calculate Total Tax formula is :-</t>
  </si>
  <si>
    <t xml:space="preserve">   =C14+D14</t>
  </si>
  <si>
    <t>Ans</t>
  </si>
  <si>
    <t>i) Select A5 and type heading Total and type formula =SUM(B19:B22) and drag fill handle</t>
  </si>
  <si>
    <t>ii) To create Column chart for toatl sales in 2005,2010 and 2015</t>
  </si>
  <si>
    <t>Select Data A6:D6</t>
  </si>
  <si>
    <t>From Insert Tab, select column chart, then select sub type 2-D</t>
  </si>
  <si>
    <t xml:space="preserve">iii) To create pie chart fro sales in 2010 </t>
  </si>
  <si>
    <t>From Insert Tab, select pie chart, then select sub type</t>
  </si>
  <si>
    <t>iv) To create line diagram for sales in 2005 and 2015</t>
  </si>
  <si>
    <t>Select Data C2:C5</t>
  </si>
  <si>
    <t>Select data B2:B5 and D2:toD5</t>
  </si>
  <si>
    <t>From Insert Tab, select Line, then select sub type</t>
  </si>
  <si>
    <t>In the worksheet the costs invloved for education in 2014 under four</t>
  </si>
  <si>
    <t>account increase in fees by 50%, Hostel charges by 25%, Food &amp; Clothing</t>
  </si>
  <si>
    <t>by 50% and Miscellaneous amount by 30%. Find the toatl amount required</t>
  </si>
  <si>
    <t>in B6 and C6 respectively. Further assuming that this target amount required</t>
  </si>
  <si>
    <t>the amount that has to be saved each month in the next 6 year in cell A8</t>
  </si>
  <si>
    <t>to meet this target amount assuming no interest being received on amounts saved</t>
  </si>
  <si>
    <t>Solution:-</t>
  </si>
  <si>
    <t>1) Select C2 and type =B2*1.50 and press enter</t>
  </si>
  <si>
    <t>2) Select C3 and type =B3*1.25 and press enter</t>
  </si>
  <si>
    <t>3) Select C4 and type =B4*1.50 and press enter</t>
  </si>
  <si>
    <t>4) Select C5 and type =B5*1.30 and press enter</t>
  </si>
  <si>
    <t>5) Select B6 and type =sum(B2:B5) and press enter</t>
  </si>
  <si>
    <t>6) Select B6 and drag the fill handle to C6</t>
  </si>
  <si>
    <t>7) Select C8 and type formula =A8*12*6 and press enter</t>
  </si>
  <si>
    <t>8) From Data Tab select What-if analysis and then select Goal Seek</t>
  </si>
  <si>
    <t>9) In Set cell type C8</t>
  </si>
  <si>
    <t>11) In "By changing cell" type A8 and click on Ok</t>
  </si>
  <si>
    <t>The Goal  seek status indicated it has found value click on OK</t>
  </si>
  <si>
    <t>The required amount is obatined in cell A8</t>
  </si>
  <si>
    <t>units sold and sales value of two products in a year</t>
  </si>
  <si>
    <t>Product</t>
  </si>
  <si>
    <t>Price Per Unit</t>
  </si>
  <si>
    <t>Units Sold</t>
  </si>
  <si>
    <t>Sales Value</t>
  </si>
  <si>
    <t>For the company to break even, it has to achive a total</t>
  </si>
  <si>
    <t>find out the number of units of each of these two products</t>
  </si>
  <si>
    <t>that should be sold in order to to meet the desired target value</t>
  </si>
  <si>
    <t>sale of 1,00,00,000 in a year. Using solver write steps to</t>
  </si>
  <si>
    <t>1) Select D17 and from Data tab select Solver</t>
  </si>
  <si>
    <t>2) In Dialog box "Set target cell" D17 is already selected</t>
  </si>
  <si>
    <t>3) In the "Equal To" set value of type 10000000 in the box</t>
  </si>
  <si>
    <t>4) In "By changing Cells" box select Range C15:C16</t>
  </si>
  <si>
    <t>5) Then click on Slove. When Solver will obtain the result, Click on OK</t>
  </si>
  <si>
    <t>The Marks in six subjects of students are shown below. Calculate the Total Marks</t>
  </si>
  <si>
    <t>LECT - I</t>
  </si>
  <si>
    <t xml:space="preserve">  =TODAY()  will return  12/22/2018</t>
  </si>
  <si>
    <t xml:space="preserve">  =TODAY()+1  will return 12/123/2018</t>
  </si>
  <si>
    <t xml:space="preserve">  =TODAY()-7 will return 12/15/2018</t>
  </si>
  <si>
    <t xml:space="preserve">  =NOW() will return 12/22/2018  11.44</t>
  </si>
  <si>
    <t xml:space="preserve">  =DAY(NOW()) will return 22</t>
  </si>
  <si>
    <t xml:space="preserve">  =DAY(TODAY()) will return 22</t>
  </si>
  <si>
    <t xml:space="preserve">  =MONTH(NOW()) will return 12</t>
  </si>
  <si>
    <t>in 2020 taking into account various factors is Rs 4,50,000 find using goal seek</t>
  </si>
  <si>
    <t>i) To compute allowance</t>
  </si>
  <si>
    <t xml:space="preserve">   =IF(C4&lt;=25000, C4*1%,C4*2%)</t>
  </si>
  <si>
    <t>ii) To find bonus</t>
  </si>
  <si>
    <t xml:space="preserve">  =IF(C4&gt;30000, C4*20%,C4*14%)</t>
  </si>
  <si>
    <t>iii) To find total bonus</t>
  </si>
  <si>
    <t xml:space="preserve">  =SUMIF(C4:C8,"&lt;25000",E4:E8)</t>
  </si>
  <si>
    <t>categories is given. Calculate the amount required in 2020 taking into</t>
  </si>
  <si>
    <t>10) In "to Value" type 450000. This is Goal Seek value</t>
  </si>
  <si>
    <t xml:space="preserve">for next year in Column C and D respecitvely using HLOOKUP function. Policy table </t>
  </si>
  <si>
    <t>to be reffered for finding Grade and Division for next year is given in the range G1:J3</t>
  </si>
  <si>
    <t>RNO</t>
  </si>
  <si>
    <t>MARKS</t>
  </si>
  <si>
    <t>GRADE</t>
  </si>
  <si>
    <t>DIV</t>
  </si>
  <si>
    <t>O</t>
  </si>
  <si>
    <t>FAIL</t>
  </si>
  <si>
    <t>DIV C</t>
  </si>
  <si>
    <t>DIV B</t>
  </si>
  <si>
    <t>DIV A</t>
  </si>
  <si>
    <t>FOR GRADE</t>
  </si>
  <si>
    <t>FOR DIV</t>
  </si>
  <si>
    <t xml:space="preserve">  =HLOOKUP(B2,$F$1:$J$3,2,TRUE)</t>
  </si>
  <si>
    <t xml:space="preserve">  =HLOOKUP(B2,$F$1:$J$3,3,TRUE)</t>
  </si>
  <si>
    <t>Consider the following worksheet. Write stpes to compute Grade and the Division.</t>
  </si>
  <si>
    <t>Flat no</t>
  </si>
  <si>
    <t>Units</t>
  </si>
  <si>
    <t>Unit consumption Charges</t>
  </si>
  <si>
    <t>Fixed</t>
  </si>
  <si>
    <t>Bill</t>
  </si>
  <si>
    <t xml:space="preserve">For rate </t>
  </si>
  <si>
    <t xml:space="preserve">  =VLOOKUP(B2,$H$2:$I$5,2,TRUE)</t>
  </si>
  <si>
    <t>For Unit consumption charges</t>
  </si>
  <si>
    <t xml:space="preserve">  =B2*C2</t>
  </si>
  <si>
    <t>For Bill</t>
  </si>
  <si>
    <t>Consider the following worksheet showing the electricity consumption in building</t>
  </si>
  <si>
    <t>Write the steps to compute the following</t>
  </si>
  <si>
    <t>i) Find rate using VLOOKUP function. Policy table to be referred is in range H2.I5</t>
  </si>
  <si>
    <t>ii) Calculate Unit Consumption Charges in column D using formaula Units  * Rate</t>
  </si>
  <si>
    <t>iii) Bill = Unit Consumption Charges + Fixed rate</t>
  </si>
  <si>
    <t>Empno</t>
  </si>
  <si>
    <t>IV</t>
  </si>
  <si>
    <t xml:space="preserve">Write steps to find HRA and Bonus in column C and D respectively using HLOOKUP function. </t>
  </si>
  <si>
    <t>Policy table to be referred for finding HRA and Bonus is given in the range G1 :J3</t>
  </si>
  <si>
    <t xml:space="preserve">  =HLOOKUP(B2,$F$1:$J$3,2,FALSE)</t>
  </si>
  <si>
    <t>For Bonus          =HLOOKUP(B2,$F$1:$J$3,3,FALSE)</t>
  </si>
  <si>
    <t>Steps to configure solver:-</t>
  </si>
  <si>
    <t>cell by changing values in cells used to calculate the target cells. Hence when</t>
  </si>
  <si>
    <t>Click on Office button --&gt;  Excel options  --&gt; Add Ins</t>
  </si>
  <si>
    <t>In Add Ins ---&gt; select Solver Add ins and click on Go button</t>
  </si>
  <si>
    <t xml:space="preserve">Solver will configure and can be viewed in Data Tab </t>
  </si>
  <si>
    <t xml:space="preserve">Following Excel worksheet contains the sale price per unit, </t>
  </si>
  <si>
    <t>SCENARIOS -&gt;</t>
  </si>
  <si>
    <t>Scenarios are part of a group of commands called What if Analysis</t>
  </si>
  <si>
    <t xml:space="preserve">A Scenario is group of values that give different results when involved in </t>
  </si>
  <si>
    <t>calculations</t>
  </si>
  <si>
    <t>The following Excel Sheet shows the most likely Scenario of monthly expenses</t>
  </si>
  <si>
    <t>Items</t>
  </si>
  <si>
    <t>Cost</t>
  </si>
  <si>
    <t>Machinery</t>
  </si>
  <si>
    <t>Carriage</t>
  </si>
  <si>
    <t>Transport</t>
  </si>
  <si>
    <t>Office Equipments</t>
  </si>
  <si>
    <t>Postage</t>
  </si>
  <si>
    <t>Expain the steps to create Best and the Worst Scenario by changing</t>
  </si>
  <si>
    <t>the valus of B2 to B7.</t>
  </si>
  <si>
    <t>For Best Scenario change B3 to 5000, B4 to 18000, B5 to 4000</t>
  </si>
  <si>
    <t>For Worst Scenario change B2 to 80000, B3 to 9000, B6 to 10000</t>
  </si>
  <si>
    <t>and display summary</t>
  </si>
  <si>
    <t>Steps- -&gt;</t>
  </si>
  <si>
    <t>i) To calculate Total formula is  =SUM(B2:B7)</t>
  </si>
  <si>
    <t xml:space="preserve"> ii) Click on Data Tab -&gt; What If Analysis -&gt; Scenario Manager</t>
  </si>
  <si>
    <t>iii) Click on Add button</t>
  </si>
  <si>
    <t xml:space="preserve">iv) Type Scenario Name as Best Scenario, in changing cells select range B2:B7 and Click on Ok </t>
  </si>
  <si>
    <t>vii) Change the values of B2 to 80000, B3 to 9000 and B6 to 10000 and click on add button</t>
  </si>
  <si>
    <r>
      <t>v)</t>
    </r>
    <r>
      <rPr>
        <b/>
        <sz val="22"/>
        <color theme="1"/>
        <rFont val="Times New Roman"/>
        <family val="1"/>
      </rPr>
      <t> </t>
    </r>
    <r>
      <rPr>
        <b/>
        <sz val="22"/>
        <color theme="1"/>
        <rFont val="Calibri"/>
        <family val="2"/>
        <scheme val="minor"/>
      </rPr>
      <t>Change the values of B3 to 5000, B4 to 18000 and B5 to 4000 and click on add button</t>
    </r>
  </si>
  <si>
    <r>
      <t>vi)</t>
    </r>
    <r>
      <rPr>
        <b/>
        <sz val="22"/>
        <color theme="1"/>
        <rFont val="Times New Roman"/>
        <family val="1"/>
      </rPr>
      <t xml:space="preserve"> </t>
    </r>
    <r>
      <rPr>
        <b/>
        <sz val="22"/>
        <color theme="1"/>
        <rFont val="Calibri"/>
        <family val="2"/>
        <scheme val="minor"/>
      </rPr>
      <t xml:space="preserve">Again Type Scenario Name as Worst Scenario, in changing cells select range B2:B7 and Click on Ok </t>
    </r>
  </si>
  <si>
    <t>viii) Click on Summary, in Result cells select B8 and click on OK button,</t>
  </si>
  <si>
    <t xml:space="preserve"> Scenario summary will get displayed.</t>
  </si>
  <si>
    <t>Region</t>
  </si>
  <si>
    <t>Product ID</t>
  </si>
  <si>
    <t>Sanjay</t>
  </si>
  <si>
    <t>South</t>
  </si>
  <si>
    <t>Minaz</t>
  </si>
  <si>
    <t>West</t>
  </si>
  <si>
    <t>Arun</t>
  </si>
  <si>
    <t>East</t>
  </si>
  <si>
    <t>Lila</t>
  </si>
  <si>
    <t>North</t>
  </si>
  <si>
    <t>Kiran</t>
  </si>
  <si>
    <t>Mehernosh</t>
  </si>
  <si>
    <t>Mishra</t>
  </si>
  <si>
    <t>Bina</t>
  </si>
  <si>
    <r>
      <t>Select cells A1:D9, click on Data Tab --</t>
    </r>
    <r>
      <rPr>
        <b/>
        <sz val="22"/>
        <color theme="1"/>
        <rFont val="Wingdings"/>
        <charset val="2"/>
      </rPr>
      <t>à</t>
    </r>
    <r>
      <rPr>
        <b/>
        <sz val="22"/>
        <color theme="1"/>
        <rFont val="Calibri"/>
        <family val="2"/>
        <scheme val="minor"/>
      </rPr>
      <t xml:space="preserve"> Filter</t>
    </r>
  </si>
  <si>
    <r>
      <t>Click on Region --</t>
    </r>
    <r>
      <rPr>
        <b/>
        <sz val="22"/>
        <color theme="1"/>
        <rFont val="Wingdings"/>
        <charset val="2"/>
      </rPr>
      <t>à</t>
    </r>
    <r>
      <rPr>
        <b/>
        <sz val="22"/>
        <color theme="1"/>
        <rFont val="Calibri"/>
        <family val="2"/>
        <scheme val="minor"/>
      </rPr>
      <t>Text Filters --</t>
    </r>
    <r>
      <rPr>
        <b/>
        <sz val="22"/>
        <color theme="1"/>
        <rFont val="Wingdings"/>
        <charset val="2"/>
      </rPr>
      <t>à</t>
    </r>
    <r>
      <rPr>
        <b/>
        <sz val="22"/>
        <color theme="1"/>
        <rFont val="Calibri"/>
        <family val="2"/>
        <scheme val="minor"/>
      </rPr>
      <t xml:space="preserve"> Equals -</t>
    </r>
    <r>
      <rPr>
        <b/>
        <sz val="22"/>
        <color theme="1"/>
        <rFont val="Wingdings"/>
        <charset val="2"/>
      </rPr>
      <t>à</t>
    </r>
    <r>
      <rPr>
        <b/>
        <sz val="22"/>
        <color theme="1"/>
        <rFont val="Calibri"/>
        <family val="2"/>
        <scheme val="minor"/>
      </rPr>
      <t>West -</t>
    </r>
    <r>
      <rPr>
        <b/>
        <sz val="22"/>
        <color theme="1"/>
        <rFont val="Wingdings"/>
        <charset val="2"/>
      </rPr>
      <t>à</t>
    </r>
    <r>
      <rPr>
        <b/>
        <sz val="22"/>
        <color theme="1"/>
        <rFont val="Calibri"/>
        <family val="2"/>
        <scheme val="minor"/>
      </rPr>
      <t xml:space="preserve"> Click on Ok Button</t>
    </r>
  </si>
  <si>
    <r>
      <t>Click on Sales --</t>
    </r>
    <r>
      <rPr>
        <b/>
        <sz val="22"/>
        <color theme="1"/>
        <rFont val="Wingdings"/>
        <charset val="2"/>
      </rPr>
      <t>à</t>
    </r>
    <r>
      <rPr>
        <b/>
        <sz val="22"/>
        <color theme="1"/>
        <rFont val="Calibri"/>
        <family val="2"/>
        <scheme val="minor"/>
      </rPr>
      <t>Number Filters --</t>
    </r>
    <r>
      <rPr>
        <b/>
        <sz val="22"/>
        <color theme="1"/>
        <rFont val="Wingdings"/>
        <charset val="2"/>
      </rPr>
      <t>à</t>
    </r>
    <r>
      <rPr>
        <b/>
        <sz val="22"/>
        <color theme="1"/>
        <rFont val="Calibri"/>
        <family val="2"/>
        <scheme val="minor"/>
      </rPr>
      <t xml:space="preserve"> Greater Than -</t>
    </r>
    <r>
      <rPr>
        <b/>
        <sz val="22"/>
        <color theme="1"/>
        <rFont val="Wingdings"/>
        <charset val="2"/>
      </rPr>
      <t>à</t>
    </r>
    <r>
      <rPr>
        <b/>
        <sz val="22"/>
        <color theme="1"/>
        <rFont val="Calibri"/>
        <family val="2"/>
        <scheme val="minor"/>
      </rPr>
      <t>40000 -</t>
    </r>
    <r>
      <rPr>
        <b/>
        <sz val="22"/>
        <color theme="1"/>
        <rFont val="Wingdings"/>
        <charset val="2"/>
      </rPr>
      <t>à</t>
    </r>
    <r>
      <rPr>
        <b/>
        <sz val="22"/>
        <color theme="1"/>
        <rFont val="Calibri"/>
        <family val="2"/>
        <scheme val="minor"/>
      </rPr>
      <t xml:space="preserve"> Click on Ok Button</t>
    </r>
  </si>
  <si>
    <r>
      <t>Click on Name --</t>
    </r>
    <r>
      <rPr>
        <b/>
        <sz val="22"/>
        <color theme="1"/>
        <rFont val="Wingdings"/>
        <charset val="2"/>
      </rPr>
      <t>à</t>
    </r>
    <r>
      <rPr>
        <b/>
        <sz val="22"/>
        <color theme="1"/>
        <rFont val="Calibri"/>
        <family val="2"/>
        <scheme val="minor"/>
      </rPr>
      <t>Text Filters --</t>
    </r>
    <r>
      <rPr>
        <b/>
        <sz val="22"/>
        <color theme="1"/>
        <rFont val="Wingdings"/>
        <charset val="2"/>
      </rPr>
      <t>à</t>
    </r>
    <r>
      <rPr>
        <b/>
        <sz val="22"/>
        <color theme="1"/>
        <rFont val="Calibri"/>
        <family val="2"/>
        <scheme val="minor"/>
      </rPr>
      <t xml:space="preserve"> Contains -</t>
    </r>
    <r>
      <rPr>
        <b/>
        <sz val="22"/>
        <color theme="1"/>
        <rFont val="Wingdings"/>
        <charset val="2"/>
      </rPr>
      <t>à</t>
    </r>
    <r>
      <rPr>
        <b/>
        <sz val="22"/>
        <color theme="1"/>
        <rFont val="Calibri"/>
        <family val="2"/>
        <scheme val="minor"/>
      </rPr>
      <t>i -</t>
    </r>
    <r>
      <rPr>
        <b/>
        <sz val="22"/>
        <color theme="1"/>
        <rFont val="Wingdings"/>
        <charset val="2"/>
      </rPr>
      <t>à</t>
    </r>
    <r>
      <rPr>
        <b/>
        <sz val="22"/>
        <color theme="1"/>
        <rFont val="Calibri"/>
        <family val="2"/>
        <scheme val="minor"/>
      </rPr>
      <t xml:space="preserve"> Click on Ok Button</t>
    </r>
  </si>
  <si>
    <r>
      <t>i)</t>
    </r>
    <r>
      <rPr>
        <b/>
        <sz val="22"/>
        <color theme="1"/>
        <rFont val="Times New Roman"/>
        <family val="1"/>
      </rPr>
      <t> </t>
    </r>
    <r>
      <rPr>
        <b/>
        <sz val="22"/>
        <color theme="1"/>
        <rFont val="Calibri"/>
        <family val="2"/>
        <scheme val="minor"/>
      </rPr>
      <t>To display only those rows where the region is West</t>
    </r>
  </si>
  <si>
    <r>
      <t>ii)</t>
    </r>
    <r>
      <rPr>
        <b/>
        <sz val="22"/>
        <color theme="1"/>
        <rFont val="Times New Roman"/>
        <family val="1"/>
      </rPr>
      <t> </t>
    </r>
    <r>
      <rPr>
        <b/>
        <sz val="22"/>
        <color theme="1"/>
        <rFont val="Calibri"/>
        <family val="2"/>
        <scheme val="minor"/>
      </rPr>
      <t>To display only those rows where the sales is above 40000</t>
    </r>
  </si>
  <si>
    <t>iii) To display all the rows where name  contain “i”</t>
  </si>
  <si>
    <r>
      <t>a)</t>
    </r>
    <r>
      <rPr>
        <b/>
        <sz val="22"/>
        <color theme="1"/>
        <rFont val="Times New Roman"/>
        <family val="1"/>
      </rPr>
      <t xml:space="preserve">      </t>
    </r>
    <r>
      <rPr>
        <b/>
        <sz val="22"/>
        <color theme="1"/>
        <rFont val="Calibri"/>
        <family val="2"/>
        <scheme val="minor"/>
      </rPr>
      <t>The Following data has been entered in the worksheet</t>
    </r>
  </si>
  <si>
    <t>Ecommerce</t>
  </si>
  <si>
    <t>Explain advantages and disadvantages of Ecommerce</t>
  </si>
  <si>
    <t>Explain types of Ecommerce</t>
  </si>
  <si>
    <t>B2B, B2C, P2P</t>
  </si>
  <si>
    <t>Short note on public key</t>
  </si>
  <si>
    <t>Explain Revenue Models in Ecommerce</t>
  </si>
  <si>
    <t>Short note on Mcommerce</t>
  </si>
  <si>
    <t>Payment Systems of Ecommerce</t>
  </si>
  <si>
    <t>Encryption, Decryption and Digital Signature</t>
  </si>
  <si>
    <t>Paper Pattern</t>
  </si>
  <si>
    <t>Q1 Objectives</t>
  </si>
  <si>
    <t>Q2 Ecommerce</t>
  </si>
  <si>
    <t>Q3 MSEXCEL</t>
  </si>
  <si>
    <t>A)</t>
  </si>
  <si>
    <t xml:space="preserve">a) If else </t>
  </si>
  <si>
    <t>b) HLOOKUP/VLOOKUP</t>
  </si>
  <si>
    <t xml:space="preserve">B) </t>
  </si>
  <si>
    <t>c) If else</t>
  </si>
  <si>
    <t>d) If else</t>
  </si>
  <si>
    <t>Q4 MSEXCEL</t>
  </si>
  <si>
    <t>a) Charts</t>
  </si>
  <si>
    <t>b) SOLVER / Scenario</t>
  </si>
  <si>
    <t>c) Filters</t>
  </si>
  <si>
    <t>d) Date Time String Functions</t>
  </si>
  <si>
    <t>Q5 Visual Basic</t>
  </si>
  <si>
    <t>a) Simple Program</t>
  </si>
  <si>
    <t>b) If Else If</t>
  </si>
  <si>
    <t>c) If else if</t>
  </si>
  <si>
    <t>d) Loops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</si>
</sst>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rgb="FF000000"/>
      <name val="Calibri"/>
      <family val="2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22"/>
      <color theme="1"/>
      <name val="Times New Roman"/>
      <family val="1"/>
    </font>
    <font>
      <b/>
      <sz val="22"/>
      <color rgb="FF000000"/>
      <name val="Calibri"/>
      <family val="2"/>
      <scheme val="minor"/>
    </font>
    <font>
      <b/>
      <sz val="22"/>
      <color theme="1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/>
    <xf numFmtId="0" fontId="4" fillId="2" borderId="0" xfId="0" applyFont="1" applyFill="1"/>
    <xf numFmtId="0" fontId="6" fillId="0" borderId="0" xfId="0" applyFont="1"/>
    <xf numFmtId="0" fontId="6" fillId="0" borderId="1" xfId="0" applyFont="1" applyBorder="1"/>
    <xf numFmtId="2" fontId="2" fillId="0" borderId="1" xfId="0" applyNumberFormat="1" applyFont="1" applyBorder="1"/>
    <xf numFmtId="0" fontId="5" fillId="0" borderId="0" xfId="0" applyFont="1"/>
    <xf numFmtId="14" fontId="5" fillId="0" borderId="0" xfId="0" applyNumberFormat="1" applyFont="1"/>
    <xf numFmtId="22" fontId="5" fillId="0" borderId="0" xfId="0" applyNumberFormat="1" applyFont="1"/>
    <xf numFmtId="18" fontId="5" fillId="0" borderId="0" xfId="0" applyNumberFormat="1" applyFont="1"/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5" fillId="0" borderId="0" xfId="0" applyFont="1" applyAlignment="1">
      <alignment wrapText="1"/>
    </xf>
    <xf numFmtId="0" fontId="5" fillId="0" borderId="1" xfId="0" applyFont="1" applyBorder="1"/>
    <xf numFmtId="1" fontId="5" fillId="0" borderId="0" xfId="0" applyNumberFormat="1" applyFont="1"/>
    <xf numFmtId="0" fontId="2" fillId="4" borderId="0" xfId="0" applyFont="1" applyFill="1"/>
    <xf numFmtId="0" fontId="5" fillId="5" borderId="0" xfId="0" applyFont="1" applyFill="1"/>
    <xf numFmtId="0" fontId="9" fillId="0" borderId="0" xfId="0" applyFont="1"/>
    <xf numFmtId="0" fontId="8" fillId="0" borderId="1" xfId="0" applyFont="1" applyBorder="1" applyAlignment="1">
      <alignment horizontal="justify"/>
    </xf>
    <xf numFmtId="0" fontId="10" fillId="0" borderId="0" xfId="0" applyFont="1" applyAlignment="1">
      <alignment horizontal="left"/>
    </xf>
    <xf numFmtId="0" fontId="5" fillId="5" borderId="0" xfId="0" applyFont="1" applyFill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9" fontId="2" fillId="0" borderId="0" xfId="0" applyNumberFormat="1" applyFont="1"/>
    <xf numFmtId="0" fontId="5" fillId="0" borderId="0" xfId="0" applyFont="1" applyAlignment="1">
      <alignment horizontal="left" wrapText="1"/>
    </xf>
    <xf numFmtId="0" fontId="2" fillId="2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7" fillId="4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charts!$B$17:$B$22</c:f>
              <c:numCache>
                <c:formatCode>General</c:formatCode>
                <c:ptCount val="6"/>
                <c:pt idx="0">
                  <c:v>2005</c:v>
                </c:pt>
                <c:pt idx="1">
                  <c:v>213</c:v>
                </c:pt>
                <c:pt idx="2">
                  <c:v>158</c:v>
                </c:pt>
                <c:pt idx="3">
                  <c:v>210</c:v>
                </c:pt>
                <c:pt idx="4">
                  <c:v>178</c:v>
                </c:pt>
                <c:pt idx="5">
                  <c:v>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1-4EA6-A114-1F56BB986DD5}"/>
            </c:ext>
          </c:extLst>
        </c:ser>
        <c:ser>
          <c:idx val="1"/>
          <c:order val="1"/>
          <c:invertIfNegative val="0"/>
          <c:val>
            <c:numRef>
              <c:f>charts!$C$17:$C$22</c:f>
              <c:numCache>
                <c:formatCode>General</c:formatCode>
                <c:ptCount val="6"/>
                <c:pt idx="0">
                  <c:v>2010</c:v>
                </c:pt>
                <c:pt idx="1">
                  <c:v>421</c:v>
                </c:pt>
                <c:pt idx="2">
                  <c:v>220</c:v>
                </c:pt>
                <c:pt idx="3">
                  <c:v>270</c:v>
                </c:pt>
                <c:pt idx="4">
                  <c:v>215</c:v>
                </c:pt>
                <c:pt idx="5">
                  <c:v>1126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71-4EA6-A114-1F56BB986DD5}"/>
            </c:ext>
          </c:extLst>
        </c:ser>
        <c:ser>
          <c:idx val="2"/>
          <c:order val="2"/>
          <c:invertIfNegative val="0"/>
          <c:val>
            <c:numRef>
              <c:f>charts!$D$17:$D$22</c:f>
              <c:numCache>
                <c:formatCode>General</c:formatCode>
                <c:ptCount val="6"/>
                <c:pt idx="0">
                  <c:v>2015</c:v>
                </c:pt>
                <c:pt idx="1">
                  <c:v>340</c:v>
                </c:pt>
                <c:pt idx="2">
                  <c:v>130</c:v>
                </c:pt>
                <c:pt idx="3">
                  <c:v>195</c:v>
                </c:pt>
                <c:pt idx="4">
                  <c:v>170</c:v>
                </c:pt>
                <c:pt idx="5">
                  <c:v>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71-4EA6-A114-1F56BB986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895552"/>
        <c:axId val="55897088"/>
      </c:barChart>
      <c:catAx>
        <c:axId val="55895552"/>
        <c:scaling>
          <c:orientation val="minMax"/>
        </c:scaling>
        <c:delete val="0"/>
        <c:axPos val="b"/>
        <c:majorTickMark val="out"/>
        <c:minorTickMark val="none"/>
        <c:tickLblPos val="nextTo"/>
        <c:crossAx val="55897088"/>
        <c:crosses val="autoZero"/>
        <c:auto val="1"/>
        <c:lblAlgn val="ctr"/>
        <c:lblOffset val="100"/>
        <c:noMultiLvlLbl val="0"/>
      </c:catAx>
      <c:valAx>
        <c:axId val="55897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5895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val>
            <c:numRef>
              <c:f>charts!$C$17:$C$22</c:f>
              <c:numCache>
                <c:formatCode>General</c:formatCode>
                <c:ptCount val="6"/>
                <c:pt idx="0">
                  <c:v>2010</c:v>
                </c:pt>
                <c:pt idx="1">
                  <c:v>421</c:v>
                </c:pt>
                <c:pt idx="2">
                  <c:v>220</c:v>
                </c:pt>
                <c:pt idx="3">
                  <c:v>270</c:v>
                </c:pt>
                <c:pt idx="4">
                  <c:v>215</c:v>
                </c:pt>
                <c:pt idx="5">
                  <c:v>1126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B-4DBF-8288-7480677A5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charts!$B$17:$B$22</c:f>
              <c:numCache>
                <c:formatCode>General</c:formatCode>
                <c:ptCount val="6"/>
                <c:pt idx="0">
                  <c:v>2005</c:v>
                </c:pt>
                <c:pt idx="1">
                  <c:v>213</c:v>
                </c:pt>
                <c:pt idx="2">
                  <c:v>158</c:v>
                </c:pt>
                <c:pt idx="3">
                  <c:v>210</c:v>
                </c:pt>
                <c:pt idx="4">
                  <c:v>178</c:v>
                </c:pt>
                <c:pt idx="5">
                  <c:v>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83-42ED-AAA1-D24BC16DC1F8}"/>
            </c:ext>
          </c:extLst>
        </c:ser>
        <c:ser>
          <c:idx val="1"/>
          <c:order val="1"/>
          <c:marker>
            <c:symbol val="none"/>
          </c:marker>
          <c:val>
            <c:numRef>
              <c:f>charts!$D$17:$D$22</c:f>
              <c:numCache>
                <c:formatCode>General</c:formatCode>
                <c:ptCount val="6"/>
                <c:pt idx="0">
                  <c:v>2015</c:v>
                </c:pt>
                <c:pt idx="1">
                  <c:v>340</c:v>
                </c:pt>
                <c:pt idx="2">
                  <c:v>130</c:v>
                </c:pt>
                <c:pt idx="3">
                  <c:v>195</c:v>
                </c:pt>
                <c:pt idx="4">
                  <c:v>170</c:v>
                </c:pt>
                <c:pt idx="5">
                  <c:v>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83-42ED-AAA1-D24BC16DC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64416"/>
        <c:axId val="55965952"/>
      </c:lineChart>
      <c:catAx>
        <c:axId val="55964416"/>
        <c:scaling>
          <c:orientation val="minMax"/>
        </c:scaling>
        <c:delete val="0"/>
        <c:axPos val="b"/>
        <c:majorTickMark val="out"/>
        <c:minorTickMark val="none"/>
        <c:tickLblPos val="nextTo"/>
        <c:crossAx val="55965952"/>
        <c:crosses val="autoZero"/>
        <c:auto val="1"/>
        <c:lblAlgn val="ctr"/>
        <c:lblOffset val="100"/>
        <c:noMultiLvlLbl val="0"/>
      </c:catAx>
      <c:valAx>
        <c:axId val="55965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59644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15</xdr:row>
      <xdr:rowOff>352425</xdr:rowOff>
    </xdr:from>
    <xdr:to>
      <xdr:col>13</xdr:col>
      <xdr:colOff>371475</xdr:colOff>
      <xdr:row>23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295275</xdr:colOff>
      <xdr:row>25</xdr:row>
      <xdr:rowOff>152400</xdr:rowOff>
    </xdr:from>
    <xdr:to>
      <xdr:col>7</xdr:col>
      <xdr:colOff>209550</xdr:colOff>
      <xdr:row>32</xdr:row>
      <xdr:rowOff>228600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600075</xdr:colOff>
      <xdr:row>17</xdr:row>
      <xdr:rowOff>123825</xdr:rowOff>
    </xdr:from>
    <xdr:to>
      <xdr:col>10</xdr:col>
      <xdr:colOff>371475</xdr:colOff>
      <xdr:row>24</xdr:row>
      <xdr:rowOff>200025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B2"/>
    </sheetView>
  </sheetViews>
  <sheetFormatPr defaultRowHeight="35.1" customHeight="1" x14ac:dyDescent="0.25"/>
  <cols>
    <col min="1" max="5" width="15.7109375" style="47" customWidth="1"/>
    <col min="6" max="16384" width="9.140625" style="47"/>
  </cols>
  <sheetData>
    <row r="1" spans="1:5" ht="35.1" customHeight="1" x14ac:dyDescent="0.25">
      <c r="A1" s="46" t="s">
        <v>493</v>
      </c>
      <c r="B1" s="46"/>
    </row>
    <row r="2" spans="1:5" ht="35.1" customHeight="1" x14ac:dyDescent="0.25">
      <c r="A2" s="48" t="s">
        <v>26</v>
      </c>
      <c r="B2" s="48"/>
    </row>
    <row r="3" spans="1:5" ht="35.1" customHeight="1" x14ac:dyDescent="0.25">
      <c r="A3" s="47" t="s">
        <v>27</v>
      </c>
    </row>
    <row r="4" spans="1:5" ht="35.1" customHeight="1" x14ac:dyDescent="0.25">
      <c r="A4" s="47" t="s">
        <v>28</v>
      </c>
    </row>
    <row r="5" spans="1:5" ht="35.1" customHeight="1" x14ac:dyDescent="0.25">
      <c r="A5" s="47" t="s">
        <v>29</v>
      </c>
    </row>
    <row r="6" spans="1:5" ht="35.1" customHeight="1" x14ac:dyDescent="0.25">
      <c r="A6" s="47" t="s">
        <v>30</v>
      </c>
    </row>
    <row r="7" spans="1:5" ht="35.1" customHeight="1" x14ac:dyDescent="0.25">
      <c r="A7" s="47" t="s">
        <v>7</v>
      </c>
    </row>
    <row r="8" spans="1:5" ht="35.1" customHeight="1" x14ac:dyDescent="0.25">
      <c r="A8" s="47" t="s">
        <v>8</v>
      </c>
    </row>
    <row r="10" spans="1:5" ht="35.1" customHeight="1" x14ac:dyDescent="0.25">
      <c r="A10" s="49" t="s">
        <v>0</v>
      </c>
      <c r="B10" s="49" t="s">
        <v>1</v>
      </c>
      <c r="C10" s="49" t="s">
        <v>2</v>
      </c>
      <c r="D10" s="49" t="s">
        <v>3</v>
      </c>
      <c r="E10" s="50"/>
    </row>
    <row r="11" spans="1:5" ht="35.1" customHeight="1" x14ac:dyDescent="0.25">
      <c r="A11" s="51" t="s">
        <v>4</v>
      </c>
      <c r="B11" s="51">
        <v>10000</v>
      </c>
      <c r="C11" s="51"/>
      <c r="D11" s="51"/>
    </row>
    <row r="12" spans="1:5" ht="35.1" customHeight="1" x14ac:dyDescent="0.25">
      <c r="A12" s="51" t="s">
        <v>5</v>
      </c>
      <c r="B12" s="51">
        <v>40000</v>
      </c>
      <c r="C12" s="51"/>
      <c r="D12" s="51"/>
    </row>
    <row r="13" spans="1:5" ht="35.1" customHeight="1" x14ac:dyDescent="0.25">
      <c r="A13" s="51" t="s">
        <v>5</v>
      </c>
      <c r="B13" s="51">
        <v>36000</v>
      </c>
      <c r="C13" s="51"/>
      <c r="D13" s="51"/>
    </row>
    <row r="14" spans="1:5" ht="35.1" customHeight="1" x14ac:dyDescent="0.25">
      <c r="A14" s="51" t="s">
        <v>4</v>
      </c>
      <c r="B14" s="51">
        <v>20000</v>
      </c>
      <c r="C14" s="51"/>
      <c r="D14" s="51"/>
    </row>
    <row r="16" spans="1:5" ht="35.1" customHeight="1" x14ac:dyDescent="0.25">
      <c r="A16" s="47" t="s">
        <v>9</v>
      </c>
    </row>
    <row r="17" spans="1:1" ht="35.1" customHeight="1" x14ac:dyDescent="0.25">
      <c r="A17" s="47" t="s">
        <v>10</v>
      </c>
    </row>
    <row r="18" spans="1:1" ht="35.1" customHeight="1" x14ac:dyDescent="0.25">
      <c r="A18" s="47" t="s">
        <v>12</v>
      </c>
    </row>
    <row r="19" spans="1:1" ht="35.1" customHeight="1" x14ac:dyDescent="0.25">
      <c r="A19" s="47" t="s">
        <v>11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topLeftCell="A15" workbookViewId="0">
      <selection activeCell="C13" sqref="C13:C22"/>
    </sheetView>
  </sheetViews>
  <sheetFormatPr defaultRowHeight="35.1" customHeight="1" x14ac:dyDescent="0.35"/>
  <cols>
    <col min="1" max="1" width="10.85546875" style="1" customWidth="1"/>
    <col min="2" max="2" width="18.28515625" style="1" customWidth="1"/>
    <col min="3" max="3" width="14.85546875" style="1" customWidth="1"/>
    <col min="4" max="16384" width="9.140625" style="1"/>
  </cols>
  <sheetData>
    <row r="1" spans="1:16" ht="35.1" customHeight="1" x14ac:dyDescent="0.35">
      <c r="A1" s="1" t="s">
        <v>13</v>
      </c>
    </row>
    <row r="2" spans="1:16" ht="35.1" customHeight="1" x14ac:dyDescent="0.35">
      <c r="A2" s="1" t="s">
        <v>14</v>
      </c>
    </row>
    <row r="4" spans="1:16" ht="35.1" customHeight="1" x14ac:dyDescent="0.35">
      <c r="B4" s="1" t="s">
        <v>15</v>
      </c>
      <c r="C4" s="1" t="s">
        <v>0</v>
      </c>
    </row>
    <row r="5" spans="1:16" ht="35.1" customHeight="1" x14ac:dyDescent="0.35">
      <c r="B5" s="1" t="s">
        <v>16</v>
      </c>
      <c r="C5" s="1" t="s">
        <v>21</v>
      </c>
    </row>
    <row r="6" spans="1:16" ht="35.1" customHeight="1" x14ac:dyDescent="0.35">
      <c r="B6" s="1" t="s">
        <v>17</v>
      </c>
      <c r="C6" s="1" t="s">
        <v>22</v>
      </c>
    </row>
    <row r="7" spans="1:16" ht="35.1" customHeight="1" x14ac:dyDescent="0.35">
      <c r="B7" s="1" t="s">
        <v>18</v>
      </c>
      <c r="C7" s="1" t="s">
        <v>6</v>
      </c>
    </row>
    <row r="8" spans="1:16" ht="35.1" customHeight="1" x14ac:dyDescent="0.35">
      <c r="B8" s="1" t="s">
        <v>19</v>
      </c>
      <c r="C8" s="1" t="s">
        <v>5</v>
      </c>
    </row>
    <row r="9" spans="1:16" ht="35.1" customHeight="1" x14ac:dyDescent="0.35">
      <c r="B9" s="1" t="s">
        <v>20</v>
      </c>
      <c r="C9" s="1" t="s">
        <v>4</v>
      </c>
    </row>
    <row r="12" spans="1:16" ht="35.1" customHeight="1" x14ac:dyDescent="0.35">
      <c r="A12" s="2" t="s">
        <v>23</v>
      </c>
      <c r="B12" s="2" t="s">
        <v>15</v>
      </c>
      <c r="C12" s="2" t="s">
        <v>0</v>
      </c>
      <c r="O12" s="1" t="s">
        <v>15</v>
      </c>
      <c r="P12" s="1" t="s">
        <v>0</v>
      </c>
    </row>
    <row r="13" spans="1:16" ht="35.1" customHeight="1" x14ac:dyDescent="0.35">
      <c r="A13" s="2">
        <v>1001</v>
      </c>
      <c r="B13" s="2">
        <v>62</v>
      </c>
      <c r="C13" s="2" t="str">
        <f>IF(B13&gt;=90,"A",IF(B13&gt;=80,"B",IF(B13&gt;=70,"C",IF(B13&gt;=60,"D","F"))))</f>
        <v>D</v>
      </c>
      <c r="O13" s="1" t="s">
        <v>16</v>
      </c>
      <c r="P13" s="1" t="s">
        <v>21</v>
      </c>
    </row>
    <row r="14" spans="1:16" ht="35.1" customHeight="1" x14ac:dyDescent="0.35">
      <c r="A14" s="2">
        <v>1002</v>
      </c>
      <c r="B14" s="2">
        <v>62</v>
      </c>
      <c r="C14" s="2" t="str">
        <f t="shared" ref="C14:C22" si="0">IF(B14&gt;=90,"A",IF(B14&gt;=80,"B",IF(B14&gt;=70,"C",IF(B14&gt;=60,"D","F"))))</f>
        <v>D</v>
      </c>
      <c r="O14" s="1" t="s">
        <v>17</v>
      </c>
      <c r="P14" s="1" t="s">
        <v>22</v>
      </c>
    </row>
    <row r="15" spans="1:16" ht="35.1" customHeight="1" x14ac:dyDescent="0.35">
      <c r="A15" s="2">
        <v>1003</v>
      </c>
      <c r="B15" s="2">
        <v>52</v>
      </c>
      <c r="C15" s="2" t="str">
        <f t="shared" si="0"/>
        <v>F</v>
      </c>
      <c r="O15" s="1" t="s">
        <v>18</v>
      </c>
      <c r="P15" s="1" t="s">
        <v>6</v>
      </c>
    </row>
    <row r="16" spans="1:16" ht="35.1" customHeight="1" x14ac:dyDescent="0.35">
      <c r="A16" s="2">
        <v>1004</v>
      </c>
      <c r="B16" s="2">
        <v>25</v>
      </c>
      <c r="C16" s="2" t="str">
        <f t="shared" si="0"/>
        <v>F</v>
      </c>
      <c r="O16" s="1" t="s">
        <v>19</v>
      </c>
      <c r="P16" s="1" t="s">
        <v>5</v>
      </c>
    </row>
    <row r="17" spans="1:16" ht="35.1" customHeight="1" x14ac:dyDescent="0.35">
      <c r="A17" s="2">
        <v>1005</v>
      </c>
      <c r="B17" s="2">
        <v>75</v>
      </c>
      <c r="C17" s="2" t="str">
        <f t="shared" si="0"/>
        <v>C</v>
      </c>
      <c r="O17" s="1" t="s">
        <v>20</v>
      </c>
      <c r="P17" s="1" t="s">
        <v>4</v>
      </c>
    </row>
    <row r="18" spans="1:16" ht="35.1" customHeight="1" x14ac:dyDescent="0.35">
      <c r="A18" s="2">
        <v>1006</v>
      </c>
      <c r="B18" s="2">
        <v>80</v>
      </c>
      <c r="C18" s="2" t="str">
        <f t="shared" si="0"/>
        <v>B</v>
      </c>
    </row>
    <row r="19" spans="1:16" ht="35.1" customHeight="1" x14ac:dyDescent="0.35">
      <c r="A19" s="2">
        <v>1007</v>
      </c>
      <c r="B19" s="2">
        <v>92</v>
      </c>
      <c r="C19" s="2" t="str">
        <f t="shared" si="0"/>
        <v>A</v>
      </c>
    </row>
    <row r="20" spans="1:16" ht="35.1" customHeight="1" x14ac:dyDescent="0.35">
      <c r="A20" s="2">
        <v>1008</v>
      </c>
      <c r="B20" s="2">
        <v>79</v>
      </c>
      <c r="C20" s="2" t="str">
        <f t="shared" si="0"/>
        <v>C</v>
      </c>
    </row>
    <row r="21" spans="1:16" ht="35.1" customHeight="1" x14ac:dyDescent="0.35">
      <c r="A21" s="2">
        <v>1009</v>
      </c>
      <c r="B21" s="2">
        <v>84</v>
      </c>
      <c r="C21" s="2" t="str">
        <f t="shared" si="0"/>
        <v>B</v>
      </c>
    </row>
    <row r="22" spans="1:16" ht="35.1" customHeight="1" x14ac:dyDescent="0.35">
      <c r="A22" s="2">
        <v>1010</v>
      </c>
      <c r="B22" s="2">
        <v>95</v>
      </c>
      <c r="C22" s="2" t="str">
        <f t="shared" si="0"/>
        <v>A</v>
      </c>
    </row>
    <row r="24" spans="1:16" ht="35.1" customHeight="1" x14ac:dyDescent="0.35">
      <c r="A24" s="1" t="s">
        <v>24</v>
      </c>
    </row>
    <row r="25" spans="1:16" ht="35.1" customHeight="1" x14ac:dyDescent="0.35">
      <c r="A25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topLeftCell="A42" workbookViewId="0">
      <selection activeCell="A47" sqref="A47:A49"/>
    </sheetView>
  </sheetViews>
  <sheetFormatPr defaultRowHeight="35.1" customHeight="1" x14ac:dyDescent="0.35"/>
  <cols>
    <col min="1" max="1" width="18.85546875" style="1" customWidth="1"/>
    <col min="2" max="2" width="23.7109375" style="1" customWidth="1"/>
    <col min="3" max="3" width="12.42578125" style="1" customWidth="1"/>
    <col min="4" max="4" width="9.140625" style="1"/>
    <col min="5" max="5" width="9.85546875" style="1" bestFit="1" customWidth="1"/>
    <col min="6" max="6" width="9.140625" style="1"/>
    <col min="7" max="7" width="11" style="1" customWidth="1"/>
    <col min="8" max="8" width="12.7109375" style="1" customWidth="1"/>
    <col min="9" max="10" width="9.140625" style="1"/>
    <col min="11" max="11" width="9.85546875" style="1" bestFit="1" customWidth="1"/>
    <col min="12" max="16384" width="9.140625" style="1"/>
  </cols>
  <sheetData>
    <row r="1" spans="1:8" ht="35.1" customHeight="1" x14ac:dyDescent="0.35">
      <c r="A1" s="1" t="s">
        <v>31</v>
      </c>
    </row>
    <row r="2" spans="1:8" ht="35.1" customHeight="1" x14ac:dyDescent="0.35">
      <c r="A2" s="1" t="s">
        <v>32</v>
      </c>
    </row>
    <row r="4" spans="1:8" ht="47.25" customHeight="1" x14ac:dyDescent="0.35">
      <c r="A4" s="2" t="s">
        <v>33</v>
      </c>
      <c r="B4" s="2" t="s">
        <v>34</v>
      </c>
      <c r="C4" s="3" t="s">
        <v>35</v>
      </c>
      <c r="D4" s="2" t="s">
        <v>2</v>
      </c>
      <c r="E4" s="2" t="s">
        <v>3</v>
      </c>
      <c r="F4" s="2" t="s">
        <v>36</v>
      </c>
      <c r="G4" s="3" t="s">
        <v>37</v>
      </c>
      <c r="H4" s="3" t="s">
        <v>38</v>
      </c>
    </row>
    <row r="5" spans="1:8" ht="35.1" customHeight="1" x14ac:dyDescent="0.35">
      <c r="A5" s="2">
        <v>101</v>
      </c>
      <c r="B5" s="2" t="s">
        <v>39</v>
      </c>
      <c r="C5" s="2">
        <v>32000</v>
      </c>
      <c r="D5" s="2"/>
      <c r="E5" s="2"/>
      <c r="F5" s="2"/>
      <c r="G5" s="2"/>
      <c r="H5" s="2"/>
    </row>
    <row r="6" spans="1:8" ht="35.1" customHeight="1" x14ac:dyDescent="0.35">
      <c r="A6" s="2">
        <v>102</v>
      </c>
      <c r="B6" s="2" t="s">
        <v>40</v>
      </c>
      <c r="C6" s="2">
        <v>27500</v>
      </c>
      <c r="D6" s="2"/>
      <c r="E6" s="2"/>
      <c r="F6" s="2"/>
      <c r="G6" s="2"/>
      <c r="H6" s="2"/>
    </row>
    <row r="7" spans="1:8" ht="35.1" customHeight="1" x14ac:dyDescent="0.35">
      <c r="A7" s="2">
        <v>103</v>
      </c>
      <c r="B7" s="2" t="s">
        <v>41</v>
      </c>
      <c r="C7" s="2">
        <v>31000</v>
      </c>
      <c r="D7" s="2"/>
      <c r="E7" s="2"/>
      <c r="F7" s="2"/>
      <c r="G7" s="2"/>
      <c r="H7" s="2"/>
    </row>
    <row r="8" spans="1:8" ht="35.1" customHeight="1" x14ac:dyDescent="0.35">
      <c r="A8" s="2">
        <v>104</v>
      </c>
      <c r="B8" s="2" t="s">
        <v>42</v>
      </c>
      <c r="C8" s="2">
        <v>18000</v>
      </c>
      <c r="D8" s="2"/>
      <c r="E8" s="2"/>
      <c r="F8" s="2"/>
      <c r="G8" s="2"/>
      <c r="H8" s="2"/>
    </row>
    <row r="9" spans="1:8" ht="35.1" customHeight="1" x14ac:dyDescent="0.35">
      <c r="A9" s="2">
        <v>105</v>
      </c>
      <c r="B9" s="2" t="s">
        <v>43</v>
      </c>
      <c r="C9" s="2">
        <v>30000</v>
      </c>
      <c r="D9" s="2"/>
      <c r="E9" s="2"/>
      <c r="F9" s="2"/>
      <c r="G9" s="2"/>
      <c r="H9" s="2"/>
    </row>
    <row r="10" spans="1:8" ht="35.1" customHeight="1" x14ac:dyDescent="0.35">
      <c r="A10" s="1" t="s">
        <v>44</v>
      </c>
    </row>
    <row r="11" spans="1:8" ht="35.1" customHeight="1" x14ac:dyDescent="0.35">
      <c r="A11" s="1" t="s">
        <v>45</v>
      </c>
    </row>
    <row r="12" spans="1:8" ht="35.1" customHeight="1" x14ac:dyDescent="0.35">
      <c r="A12" s="1" t="s">
        <v>46</v>
      </c>
    </row>
    <row r="13" spans="1:8" ht="35.1" customHeight="1" x14ac:dyDescent="0.35">
      <c r="A13" s="1" t="s">
        <v>47</v>
      </c>
    </row>
    <row r="14" spans="1:8" ht="35.1" customHeight="1" x14ac:dyDescent="0.35">
      <c r="A14" s="1" t="s">
        <v>48</v>
      </c>
    </row>
    <row r="15" spans="1:8" ht="35.1" customHeight="1" x14ac:dyDescent="0.35">
      <c r="A15" s="1" t="s">
        <v>49</v>
      </c>
    </row>
    <row r="16" spans="1:8" ht="35.1" customHeight="1" x14ac:dyDescent="0.35">
      <c r="A16" s="1" t="s">
        <v>50</v>
      </c>
    </row>
    <row r="18" spans="1:8" ht="50.25" customHeight="1" x14ac:dyDescent="0.35">
      <c r="A18" s="2" t="s">
        <v>33</v>
      </c>
      <c r="B18" s="2" t="s">
        <v>34</v>
      </c>
      <c r="C18" s="3" t="s">
        <v>35</v>
      </c>
      <c r="D18" s="2" t="s">
        <v>2</v>
      </c>
      <c r="E18" s="2" t="s">
        <v>3</v>
      </c>
      <c r="F18" s="2" t="s">
        <v>36</v>
      </c>
      <c r="G18" s="3" t="s">
        <v>37</v>
      </c>
      <c r="H18" s="3" t="s">
        <v>38</v>
      </c>
    </row>
    <row r="19" spans="1:8" ht="35.1" customHeight="1" x14ac:dyDescent="0.35">
      <c r="A19" s="2">
        <v>101</v>
      </c>
      <c r="B19" s="2" t="s">
        <v>39</v>
      </c>
      <c r="C19" s="2">
        <v>32000</v>
      </c>
      <c r="D19" s="2">
        <f>C19*20%</f>
        <v>6400</v>
      </c>
      <c r="E19" s="2">
        <f>IF(C19&gt;=30000,C19*35%, IF(C19&gt;=20000, C19*35%,C19*20%))</f>
        <v>11200</v>
      </c>
      <c r="F19" s="2">
        <f>C19*12%</f>
        <v>3840</v>
      </c>
      <c r="G19" s="2">
        <f>SUM(C19:E19)</f>
        <v>49600</v>
      </c>
      <c r="H19" s="2">
        <f>G19-F19</f>
        <v>45760</v>
      </c>
    </row>
    <row r="20" spans="1:8" ht="35.1" customHeight="1" x14ac:dyDescent="0.35">
      <c r="A20" s="2">
        <v>102</v>
      </c>
      <c r="B20" s="2" t="s">
        <v>40</v>
      </c>
      <c r="C20" s="2">
        <v>27500</v>
      </c>
      <c r="D20" s="2">
        <f t="shared" ref="D20:D23" si="0">C20*20%</f>
        <v>5500</v>
      </c>
      <c r="E20" s="2">
        <f t="shared" ref="E20:E23" si="1">IF(C20&gt;=30000,C20*35%, IF(C20&gt;=20000, C20*35%,C20*20%))</f>
        <v>9625</v>
      </c>
      <c r="F20" s="2">
        <f t="shared" ref="F20:F23" si="2">C20*12%</f>
        <v>3300</v>
      </c>
      <c r="G20" s="2">
        <f t="shared" ref="G20:G23" si="3">SUM(C20:E20)</f>
        <v>42625</v>
      </c>
      <c r="H20" s="2">
        <f t="shared" ref="H20:H23" si="4">G20-F20</f>
        <v>39325</v>
      </c>
    </row>
    <row r="21" spans="1:8" ht="35.1" customHeight="1" x14ac:dyDescent="0.35">
      <c r="A21" s="2">
        <v>103</v>
      </c>
      <c r="B21" s="2" t="s">
        <v>41</v>
      </c>
      <c r="C21" s="2">
        <v>31000</v>
      </c>
      <c r="D21" s="2">
        <f t="shared" si="0"/>
        <v>6200</v>
      </c>
      <c r="E21" s="2">
        <f t="shared" si="1"/>
        <v>10850</v>
      </c>
      <c r="F21" s="2">
        <f t="shared" si="2"/>
        <v>3720</v>
      </c>
      <c r="G21" s="2">
        <f t="shared" si="3"/>
        <v>48050</v>
      </c>
      <c r="H21" s="2">
        <f t="shared" si="4"/>
        <v>44330</v>
      </c>
    </row>
    <row r="22" spans="1:8" ht="35.1" customHeight="1" x14ac:dyDescent="0.35">
      <c r="A22" s="2">
        <v>104</v>
      </c>
      <c r="B22" s="2" t="s">
        <v>42</v>
      </c>
      <c r="C22" s="2">
        <v>18000</v>
      </c>
      <c r="D22" s="2">
        <f t="shared" si="0"/>
        <v>3600</v>
      </c>
      <c r="E22" s="2">
        <f t="shared" si="1"/>
        <v>3600</v>
      </c>
      <c r="F22" s="2">
        <f t="shared" si="2"/>
        <v>2160</v>
      </c>
      <c r="G22" s="2">
        <f t="shared" si="3"/>
        <v>25200</v>
      </c>
      <c r="H22" s="2">
        <f t="shared" si="4"/>
        <v>23040</v>
      </c>
    </row>
    <row r="23" spans="1:8" ht="35.1" customHeight="1" x14ac:dyDescent="0.35">
      <c r="A23" s="2">
        <v>105</v>
      </c>
      <c r="B23" s="2" t="s">
        <v>43</v>
      </c>
      <c r="C23" s="2">
        <v>30000</v>
      </c>
      <c r="D23" s="2">
        <f t="shared" si="0"/>
        <v>6000</v>
      </c>
      <c r="E23" s="2">
        <f t="shared" si="1"/>
        <v>10500</v>
      </c>
      <c r="F23" s="2">
        <f t="shared" si="2"/>
        <v>3600</v>
      </c>
      <c r="G23" s="2">
        <f t="shared" si="3"/>
        <v>46500</v>
      </c>
      <c r="H23" s="2">
        <f t="shared" si="4"/>
        <v>42900</v>
      </c>
    </row>
    <row r="25" spans="1:8" ht="35.1" customHeight="1" x14ac:dyDescent="0.35">
      <c r="A25" s="1" t="s">
        <v>51</v>
      </c>
    </row>
    <row r="26" spans="1:8" ht="35.1" customHeight="1" x14ac:dyDescent="0.35">
      <c r="A26" s="1" t="s">
        <v>52</v>
      </c>
    </row>
    <row r="27" spans="1:8" ht="35.1" customHeight="1" x14ac:dyDescent="0.35">
      <c r="A27" s="1" t="s">
        <v>53</v>
      </c>
    </row>
    <row r="29" spans="1:8" ht="35.1" customHeight="1" x14ac:dyDescent="0.35">
      <c r="A29" s="1" t="s">
        <v>54</v>
      </c>
    </row>
    <row r="30" spans="1:8" ht="35.1" customHeight="1" x14ac:dyDescent="0.35">
      <c r="A30" s="1" t="s">
        <v>55</v>
      </c>
    </row>
    <row r="31" spans="1:8" ht="35.1" customHeight="1" x14ac:dyDescent="0.35">
      <c r="A31" s="1" t="s">
        <v>56</v>
      </c>
    </row>
    <row r="32" spans="1:8" ht="35.1" customHeight="1" x14ac:dyDescent="0.35">
      <c r="A32" s="1" t="s">
        <v>57</v>
      </c>
    </row>
    <row r="33" spans="1:1" ht="35.1" customHeight="1" x14ac:dyDescent="0.35">
      <c r="A33" s="1" t="s">
        <v>58</v>
      </c>
    </row>
    <row r="34" spans="1:1" ht="35.1" customHeight="1" x14ac:dyDescent="0.35">
      <c r="A34" s="1" t="s">
        <v>59</v>
      </c>
    </row>
    <row r="35" spans="1:1" ht="35.1" customHeight="1" x14ac:dyDescent="0.35">
      <c r="A35" s="1" t="s">
        <v>60</v>
      </c>
    </row>
    <row r="36" spans="1:1" ht="35.1" customHeight="1" x14ac:dyDescent="0.35">
      <c r="A36" s="1" t="s">
        <v>61</v>
      </c>
    </row>
    <row r="37" spans="1:1" ht="35.1" customHeight="1" x14ac:dyDescent="0.35">
      <c r="A37" s="1" t="s">
        <v>62</v>
      </c>
    </row>
    <row r="39" spans="1:1" ht="35.1" customHeight="1" x14ac:dyDescent="0.35">
      <c r="A39" s="1" t="s">
        <v>63</v>
      </c>
    </row>
    <row r="40" spans="1:1" ht="35.1" customHeight="1" x14ac:dyDescent="0.35">
      <c r="A40" s="1" t="s">
        <v>64</v>
      </c>
    </row>
    <row r="41" spans="1:1" ht="35.1" customHeight="1" x14ac:dyDescent="0.35">
      <c r="A41" s="1" t="s">
        <v>62</v>
      </c>
    </row>
    <row r="43" spans="1:1" ht="35.1" customHeight="1" x14ac:dyDescent="0.35">
      <c r="A43" s="1" t="s">
        <v>65</v>
      </c>
    </row>
    <row r="44" spans="1:1" ht="35.1" customHeight="1" x14ac:dyDescent="0.35">
      <c r="A44" s="1" t="s">
        <v>66</v>
      </c>
    </row>
    <row r="45" spans="1:1" ht="35.1" customHeight="1" x14ac:dyDescent="0.35">
      <c r="A45" s="1" t="s">
        <v>62</v>
      </c>
    </row>
    <row r="47" spans="1:1" ht="35.1" customHeight="1" x14ac:dyDescent="0.35">
      <c r="A47" s="1" t="s">
        <v>67</v>
      </c>
    </row>
    <row r="48" spans="1:1" ht="35.1" customHeight="1" x14ac:dyDescent="0.35">
      <c r="A48" s="1" t="s">
        <v>68</v>
      </c>
    </row>
    <row r="49" spans="1:1" ht="35.1" customHeight="1" x14ac:dyDescent="0.35">
      <c r="A49" s="1" t="s">
        <v>62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activeCell="B1" sqref="B1:B1048576"/>
    </sheetView>
  </sheetViews>
  <sheetFormatPr defaultRowHeight="35.1" customHeight="1" x14ac:dyDescent="0.35"/>
  <cols>
    <col min="1" max="1" width="19.5703125" style="1" customWidth="1"/>
    <col min="2" max="2" width="24.42578125" style="30" customWidth="1"/>
    <col min="3" max="3" width="12.7109375" style="1" customWidth="1"/>
    <col min="4" max="4" width="15.42578125" style="1" customWidth="1"/>
    <col min="5" max="16384" width="9.140625" style="1"/>
  </cols>
  <sheetData>
    <row r="1" spans="1:4" ht="35.1" customHeight="1" x14ac:dyDescent="0.35">
      <c r="A1" s="2" t="s">
        <v>69</v>
      </c>
      <c r="B1" s="29" t="s">
        <v>70</v>
      </c>
      <c r="C1" s="2" t="s">
        <v>0</v>
      </c>
      <c r="D1" s="2" t="s">
        <v>71</v>
      </c>
    </row>
    <row r="2" spans="1:4" ht="35.1" customHeight="1" x14ac:dyDescent="0.35">
      <c r="A2" s="2" t="s">
        <v>72</v>
      </c>
      <c r="B2" s="29">
        <v>30</v>
      </c>
      <c r="C2" s="2" t="s">
        <v>77</v>
      </c>
      <c r="D2" s="2"/>
    </row>
    <row r="3" spans="1:4" ht="35.1" customHeight="1" x14ac:dyDescent="0.35">
      <c r="A3" s="2" t="s">
        <v>73</v>
      </c>
      <c r="B3" s="29">
        <v>40</v>
      </c>
      <c r="C3" s="2" t="s">
        <v>78</v>
      </c>
      <c r="D3" s="2"/>
    </row>
    <row r="4" spans="1:4" ht="35.1" customHeight="1" x14ac:dyDescent="0.35">
      <c r="A4" s="2" t="s">
        <v>74</v>
      </c>
      <c r="B4" s="29">
        <v>28</v>
      </c>
      <c r="C4" s="2" t="s">
        <v>77</v>
      </c>
      <c r="D4" s="2"/>
    </row>
    <row r="5" spans="1:4" ht="35.1" customHeight="1" x14ac:dyDescent="0.35">
      <c r="A5" s="2" t="s">
        <v>75</v>
      </c>
      <c r="B5" s="29">
        <v>19</v>
      </c>
      <c r="C5" s="2" t="s">
        <v>79</v>
      </c>
      <c r="D5" s="2"/>
    </row>
    <row r="6" spans="1:4" ht="35.1" customHeight="1" x14ac:dyDescent="0.35">
      <c r="A6" s="2" t="s">
        <v>76</v>
      </c>
      <c r="B6" s="29">
        <v>45</v>
      </c>
      <c r="C6" s="2" t="s">
        <v>78</v>
      </c>
      <c r="D6" s="2"/>
    </row>
    <row r="7" spans="1:4" ht="35.1" customHeight="1" x14ac:dyDescent="0.35">
      <c r="A7" s="1" t="s">
        <v>80</v>
      </c>
    </row>
    <row r="8" spans="1:4" ht="35.1" customHeight="1" x14ac:dyDescent="0.35">
      <c r="A8" s="1" t="s">
        <v>81</v>
      </c>
    </row>
    <row r="10" spans="1:4" ht="35.1" customHeight="1" x14ac:dyDescent="0.35">
      <c r="A10" s="1" t="s">
        <v>82</v>
      </c>
    </row>
    <row r="11" spans="1:4" ht="35.1" customHeight="1" x14ac:dyDescent="0.35">
      <c r="A11" s="1" t="s">
        <v>83</v>
      </c>
    </row>
    <row r="12" spans="1:4" ht="35.1" customHeight="1" x14ac:dyDescent="0.35">
      <c r="A12" s="1" t="s">
        <v>84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25"/>
  <sheetViews>
    <sheetView workbookViewId="0"/>
  </sheetViews>
  <sheetFormatPr defaultRowHeight="35.1" customHeight="1" x14ac:dyDescent="0.35"/>
  <cols>
    <col min="1" max="1" width="15.28515625" style="1" customWidth="1"/>
    <col min="2" max="2" width="24.85546875" style="1" customWidth="1"/>
    <col min="3" max="3" width="20.28515625" style="1" customWidth="1"/>
    <col min="4" max="4" width="16.7109375" style="1" customWidth="1"/>
    <col min="5" max="5" width="17.140625" style="1" customWidth="1"/>
    <col min="6" max="16384" width="9.140625" style="1"/>
  </cols>
  <sheetData>
    <row r="2" spans="1:5" ht="35.1" customHeight="1" x14ac:dyDescent="0.35">
      <c r="A2" s="1" t="s">
        <v>85</v>
      </c>
    </row>
    <row r="3" spans="1:5" ht="35.1" customHeight="1" x14ac:dyDescent="0.35">
      <c r="A3" s="2" t="s">
        <v>69</v>
      </c>
      <c r="B3" s="2" t="s">
        <v>86</v>
      </c>
      <c r="C3" s="2" t="s">
        <v>87</v>
      </c>
      <c r="D3" s="2" t="s">
        <v>88</v>
      </c>
      <c r="E3" s="2" t="s">
        <v>89</v>
      </c>
    </row>
    <row r="4" spans="1:5" ht="35.1" customHeight="1" x14ac:dyDescent="0.35">
      <c r="A4" s="2" t="s">
        <v>90</v>
      </c>
      <c r="B4" s="2" t="s">
        <v>95</v>
      </c>
      <c r="C4" s="2">
        <v>25000</v>
      </c>
      <c r="D4" s="2">
        <f>IF(C4&lt;=25000, C4*1%,C4*2%)</f>
        <v>250</v>
      </c>
      <c r="E4" s="2">
        <f>IF(C4&gt;30000, C4*20%,C4*14%)</f>
        <v>3500.0000000000005</v>
      </c>
    </row>
    <row r="5" spans="1:5" ht="35.1" customHeight="1" x14ac:dyDescent="0.35">
      <c r="A5" s="2" t="s">
        <v>91</v>
      </c>
      <c r="B5" s="2" t="s">
        <v>96</v>
      </c>
      <c r="C5" s="2">
        <v>18000</v>
      </c>
      <c r="D5" s="2">
        <f t="shared" ref="D5:D8" si="0">IF(C5&lt;=25000, C5*1%,C5*2%)</f>
        <v>180</v>
      </c>
      <c r="E5" s="2">
        <f t="shared" ref="E5:E8" si="1">IF(C5&gt;30000, C5*20%,C5*14%)</f>
        <v>2520.0000000000005</v>
      </c>
    </row>
    <row r="6" spans="1:5" ht="35.1" customHeight="1" x14ac:dyDescent="0.35">
      <c r="A6" s="2" t="s">
        <v>92</v>
      </c>
      <c r="B6" s="2" t="s">
        <v>97</v>
      </c>
      <c r="C6" s="2">
        <v>23000</v>
      </c>
      <c r="D6" s="2">
        <f t="shared" si="0"/>
        <v>230</v>
      </c>
      <c r="E6" s="2">
        <f t="shared" si="1"/>
        <v>3220.0000000000005</v>
      </c>
    </row>
    <row r="7" spans="1:5" ht="35.1" customHeight="1" x14ac:dyDescent="0.35">
      <c r="A7" s="2" t="s">
        <v>93</v>
      </c>
      <c r="B7" s="2" t="s">
        <v>98</v>
      </c>
      <c r="C7" s="2">
        <v>35000</v>
      </c>
      <c r="D7" s="2">
        <f t="shared" si="0"/>
        <v>700</v>
      </c>
      <c r="E7" s="2">
        <f t="shared" si="1"/>
        <v>7000</v>
      </c>
    </row>
    <row r="8" spans="1:5" ht="35.1" customHeight="1" x14ac:dyDescent="0.35">
      <c r="A8" s="2" t="s">
        <v>94</v>
      </c>
      <c r="B8" s="2" t="s">
        <v>99</v>
      </c>
      <c r="C8" s="2">
        <v>29000</v>
      </c>
      <c r="D8" s="2">
        <f t="shared" si="0"/>
        <v>580</v>
      </c>
      <c r="E8" s="2">
        <f t="shared" si="1"/>
        <v>4060.0000000000005</v>
      </c>
    </row>
    <row r="9" spans="1:5" ht="35.1" customHeight="1" x14ac:dyDescent="0.35">
      <c r="E9" s="1">
        <f>SUMIF(C4:C8,"&lt;25000",E4:E8)</f>
        <v>5740.0000000000009</v>
      </c>
    </row>
    <row r="10" spans="1:5" ht="35.1" customHeight="1" x14ac:dyDescent="0.35">
      <c r="A10" s="1" t="s">
        <v>100</v>
      </c>
    </row>
    <row r="11" spans="1:5" ht="35.1" customHeight="1" x14ac:dyDescent="0.35">
      <c r="A11" s="1" t="s">
        <v>101</v>
      </c>
    </row>
    <row r="12" spans="1:5" ht="35.1" customHeight="1" x14ac:dyDescent="0.35">
      <c r="A12" s="1" t="s">
        <v>102</v>
      </c>
    </row>
    <row r="13" spans="1:5" ht="35.1" customHeight="1" x14ac:dyDescent="0.35">
      <c r="A13" s="1" t="s">
        <v>103</v>
      </c>
    </row>
    <row r="14" spans="1:5" ht="35.1" customHeight="1" x14ac:dyDescent="0.35">
      <c r="A14" s="1" t="s">
        <v>105</v>
      </c>
    </row>
    <row r="15" spans="1:5" ht="35.1" customHeight="1" x14ac:dyDescent="0.35">
      <c r="A15" s="1" t="s">
        <v>104</v>
      </c>
    </row>
    <row r="17" spans="1:1" ht="35.1" customHeight="1" x14ac:dyDescent="0.35">
      <c r="A17" s="1" t="s">
        <v>448</v>
      </c>
    </row>
    <row r="18" spans="1:1" ht="35.1" customHeight="1" x14ac:dyDescent="0.35">
      <c r="A18" s="1" t="s">
        <v>502</v>
      </c>
    </row>
    <row r="19" spans="1:1" ht="35.1" customHeight="1" x14ac:dyDescent="0.35">
      <c r="A19" s="1" t="s">
        <v>503</v>
      </c>
    </row>
    <row r="21" spans="1:1" ht="35.1" customHeight="1" x14ac:dyDescent="0.35">
      <c r="A21" s="1" t="s">
        <v>504</v>
      </c>
    </row>
    <row r="22" spans="1:1" ht="35.1" customHeight="1" x14ac:dyDescent="0.35">
      <c r="A22" s="1" t="s">
        <v>505</v>
      </c>
    </row>
    <row r="24" spans="1:1" ht="35.1" customHeight="1" x14ac:dyDescent="0.35">
      <c r="A24" s="1" t="s">
        <v>506</v>
      </c>
    </row>
    <row r="25" spans="1:1" ht="35.1" customHeight="1" x14ac:dyDescent="0.35">
      <c r="A25" s="1" t="s">
        <v>507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7"/>
  <sheetViews>
    <sheetView workbookViewId="0">
      <selection activeCell="G1" sqref="G1"/>
    </sheetView>
  </sheetViews>
  <sheetFormatPr defaultRowHeight="35.1" customHeight="1" x14ac:dyDescent="0.35"/>
  <cols>
    <col min="1" max="1" width="15.140625" style="1" customWidth="1"/>
    <col min="2" max="5" width="9.140625" style="1"/>
    <col min="6" max="6" width="10.85546875" style="1" customWidth="1"/>
    <col min="7" max="7" width="9.140625" style="1"/>
    <col min="8" max="9" width="12.85546875" style="1" customWidth="1"/>
    <col min="10" max="10" width="11.42578125" style="1" customWidth="1"/>
    <col min="11" max="11" width="13.140625" style="1" customWidth="1"/>
    <col min="12" max="16384" width="9.140625" style="1"/>
  </cols>
  <sheetData>
    <row r="1" spans="1:11" ht="35.1" customHeight="1" x14ac:dyDescent="0.35">
      <c r="A1" s="1" t="s">
        <v>492</v>
      </c>
    </row>
    <row r="2" spans="1:11" ht="35.1" customHeight="1" x14ac:dyDescent="0.35">
      <c r="A2" s="1" t="s">
        <v>280</v>
      </c>
    </row>
    <row r="3" spans="1:11" ht="35.1" customHeight="1" x14ac:dyDescent="0.35">
      <c r="A3" s="1" t="s">
        <v>291</v>
      </c>
    </row>
    <row r="4" spans="1:11" ht="35.1" customHeight="1" x14ac:dyDescent="0.35">
      <c r="A4" s="1" t="s">
        <v>290</v>
      </c>
    </row>
    <row r="5" spans="1:11" ht="35.1" customHeight="1" x14ac:dyDescent="0.35">
      <c r="A5" s="1" t="s">
        <v>281</v>
      </c>
    </row>
    <row r="6" spans="1:11" ht="35.1" customHeight="1" x14ac:dyDescent="0.35">
      <c r="A6" s="1" t="s">
        <v>282</v>
      </c>
    </row>
    <row r="7" spans="1:11" ht="35.1" customHeight="1" x14ac:dyDescent="0.35">
      <c r="A7" s="1" t="s">
        <v>283</v>
      </c>
    </row>
    <row r="9" spans="1:11" ht="42" customHeight="1" x14ac:dyDescent="0.35">
      <c r="A9" s="2" t="s">
        <v>273</v>
      </c>
      <c r="B9" s="2" t="s">
        <v>150</v>
      </c>
      <c r="C9" s="2" t="s">
        <v>151</v>
      </c>
      <c r="D9" s="2" t="s">
        <v>152</v>
      </c>
      <c r="E9" s="2" t="s">
        <v>153</v>
      </c>
      <c r="F9" s="2" t="s">
        <v>269</v>
      </c>
      <c r="G9" s="2" t="s">
        <v>270</v>
      </c>
      <c r="H9" s="2" t="s">
        <v>271</v>
      </c>
      <c r="I9" s="3" t="s">
        <v>272</v>
      </c>
      <c r="J9" s="2" t="s">
        <v>204</v>
      </c>
      <c r="K9" s="3" t="s">
        <v>0</v>
      </c>
    </row>
    <row r="10" spans="1:11" ht="35.1" customHeight="1" x14ac:dyDescent="0.35">
      <c r="A10" s="2" t="s">
        <v>274</v>
      </c>
      <c r="B10" s="2">
        <v>78</v>
      </c>
      <c r="C10" s="2">
        <v>69</v>
      </c>
      <c r="D10" s="2">
        <v>77</v>
      </c>
      <c r="E10" s="2">
        <v>65</v>
      </c>
      <c r="F10" s="2">
        <v>88</v>
      </c>
      <c r="G10" s="2">
        <v>73</v>
      </c>
      <c r="H10" s="2">
        <f>SUM(B10:G10)</f>
        <v>450</v>
      </c>
      <c r="I10" s="9">
        <f>H10*100/600</f>
        <v>75</v>
      </c>
      <c r="J10" s="2" t="str">
        <f>IF(H10&gt;=240,"PASS","FAIL")</f>
        <v>PASS</v>
      </c>
      <c r="K10" s="2" t="str">
        <f>IF(H10&gt;=450,"A",IF(H10&gt;=360,"B",IF(H10&gt;=300,"C",IF(H10&lt;300,"F"))))</f>
        <v>A</v>
      </c>
    </row>
    <row r="11" spans="1:11" ht="35.1" customHeight="1" x14ac:dyDescent="0.35">
      <c r="A11" s="2" t="s">
        <v>275</v>
      </c>
      <c r="B11" s="2">
        <v>87</v>
      </c>
      <c r="C11" s="2">
        <v>79</v>
      </c>
      <c r="D11" s="2">
        <v>75</v>
      </c>
      <c r="E11" s="2">
        <v>77</v>
      </c>
      <c r="F11" s="2" t="s">
        <v>171</v>
      </c>
      <c r="G11" s="2">
        <v>81</v>
      </c>
      <c r="H11" s="2">
        <f t="shared" ref="H11:H14" si="0">SUM(B11:G11)</f>
        <v>399</v>
      </c>
      <c r="I11" s="9">
        <f t="shared" ref="I11:I14" si="1">H11*100/600</f>
        <v>66.5</v>
      </c>
      <c r="J11" s="2" t="str">
        <f t="shared" ref="J11:J14" si="2">IF(H11&gt;=240,"PASS","FAIL")</f>
        <v>PASS</v>
      </c>
      <c r="K11" s="2" t="str">
        <f>IF(H11&gt;=450,"A",IF(H11&gt;=360,"B",IF(H11&gt;=300,"C",IF(H11&lt;300,"F"))))</f>
        <v>B</v>
      </c>
    </row>
    <row r="12" spans="1:11" ht="35.1" customHeight="1" x14ac:dyDescent="0.35">
      <c r="A12" s="2" t="s">
        <v>276</v>
      </c>
      <c r="B12" s="2">
        <v>81</v>
      </c>
      <c r="C12" s="2">
        <v>68</v>
      </c>
      <c r="D12" s="2">
        <v>80</v>
      </c>
      <c r="E12" s="2" t="s">
        <v>171</v>
      </c>
      <c r="F12" s="2">
        <v>87</v>
      </c>
      <c r="G12" s="2">
        <v>81</v>
      </c>
      <c r="H12" s="2">
        <f t="shared" si="0"/>
        <v>397</v>
      </c>
      <c r="I12" s="9">
        <f t="shared" si="1"/>
        <v>66.166666666666671</v>
      </c>
      <c r="J12" s="2" t="str">
        <f t="shared" si="2"/>
        <v>PASS</v>
      </c>
      <c r="K12" s="2" t="str">
        <f t="shared" ref="K12:K14" si="3">IF(H12&gt;=450,"A",IF(H12&gt;=360,"B",IF(H12&gt;=300,"C",IF(H12&lt;300,"F"))))</f>
        <v>B</v>
      </c>
    </row>
    <row r="13" spans="1:11" ht="35.1" customHeight="1" x14ac:dyDescent="0.35">
      <c r="A13" s="2" t="s">
        <v>277</v>
      </c>
      <c r="B13" s="2">
        <v>35</v>
      </c>
      <c r="C13" s="2">
        <v>39</v>
      </c>
      <c r="D13" s="2">
        <v>58</v>
      </c>
      <c r="E13" s="2">
        <v>36</v>
      </c>
      <c r="F13" s="2">
        <v>26</v>
      </c>
      <c r="G13" s="2">
        <v>26</v>
      </c>
      <c r="H13" s="2">
        <f t="shared" si="0"/>
        <v>220</v>
      </c>
      <c r="I13" s="9">
        <f t="shared" si="1"/>
        <v>36.666666666666664</v>
      </c>
      <c r="J13" s="2" t="str">
        <f t="shared" si="2"/>
        <v>FAIL</v>
      </c>
      <c r="K13" s="2" t="str">
        <f t="shared" si="3"/>
        <v>F</v>
      </c>
    </row>
    <row r="14" spans="1:11" ht="35.1" customHeight="1" x14ac:dyDescent="0.35">
      <c r="A14" s="2" t="s">
        <v>278</v>
      </c>
      <c r="B14" s="2">
        <v>50</v>
      </c>
      <c r="C14" s="2">
        <v>50</v>
      </c>
      <c r="D14" s="2">
        <v>53</v>
      </c>
      <c r="E14" s="2">
        <v>49</v>
      </c>
      <c r="F14" s="2">
        <v>39</v>
      </c>
      <c r="G14" s="2">
        <v>60</v>
      </c>
      <c r="H14" s="2">
        <f t="shared" si="0"/>
        <v>301</v>
      </c>
      <c r="I14" s="9">
        <f t="shared" si="1"/>
        <v>50.166666666666664</v>
      </c>
      <c r="J14" s="2" t="str">
        <f t="shared" si="2"/>
        <v>PASS</v>
      </c>
      <c r="K14" s="2" t="str">
        <f t="shared" si="3"/>
        <v>C</v>
      </c>
    </row>
    <row r="15" spans="1:11" ht="35.1" customHeight="1" x14ac:dyDescent="0.35">
      <c r="B15" s="1">
        <f>AVERAGEIF(B10:B14,"&gt;=0",B10:B14)</f>
        <v>66.2</v>
      </c>
      <c r="C15" s="1">
        <f t="shared" ref="C15:G15" si="4">AVERAGEIF(C10:C14,"&gt;=0",C10:C14)</f>
        <v>61</v>
      </c>
      <c r="D15" s="1">
        <f t="shared" si="4"/>
        <v>68.599999999999994</v>
      </c>
      <c r="E15" s="1">
        <f>AVERAGEIF(E10:E14,"&gt;=0",E10:E14)</f>
        <v>56.75</v>
      </c>
      <c r="F15" s="1">
        <f t="shared" si="4"/>
        <v>60</v>
      </c>
      <c r="G15" s="1">
        <f t="shared" si="4"/>
        <v>64.2</v>
      </c>
    </row>
    <row r="16" spans="1:11" ht="35.1" customHeight="1" x14ac:dyDescent="0.35">
      <c r="A16" s="1" t="s">
        <v>279</v>
      </c>
      <c r="F16" s="1">
        <f>MAX(B15:G15)</f>
        <v>68.599999999999994</v>
      </c>
    </row>
    <row r="18" spans="1:1" ht="35.1" customHeight="1" x14ac:dyDescent="0.35">
      <c r="A18" s="1" t="s">
        <v>284</v>
      </c>
    </row>
    <row r="19" spans="1:1" ht="35.1" customHeight="1" x14ac:dyDescent="0.35">
      <c r="A19" s="1" t="s">
        <v>285</v>
      </c>
    </row>
    <row r="20" spans="1:1" ht="35.1" customHeight="1" x14ac:dyDescent="0.35">
      <c r="A20" s="1" t="s">
        <v>62</v>
      </c>
    </row>
    <row r="22" spans="1:1" ht="35.1" customHeight="1" x14ac:dyDescent="0.35">
      <c r="A22" s="1" t="s">
        <v>287</v>
      </c>
    </row>
    <row r="23" spans="1:1" ht="35.1" customHeight="1" x14ac:dyDescent="0.35">
      <c r="A23" s="1" t="s">
        <v>286</v>
      </c>
    </row>
    <row r="24" spans="1:1" ht="35.1" customHeight="1" x14ac:dyDescent="0.35">
      <c r="A24" s="1" t="s">
        <v>62</v>
      </c>
    </row>
    <row r="26" spans="1:1" ht="35.1" customHeight="1" x14ac:dyDescent="0.35">
      <c r="A26" s="1" t="s">
        <v>289</v>
      </c>
    </row>
    <row r="27" spans="1:1" ht="35.1" customHeight="1" x14ac:dyDescent="0.35">
      <c r="A27" s="1" t="s">
        <v>288</v>
      </c>
    </row>
    <row r="28" spans="1:1" ht="35.1" customHeight="1" x14ac:dyDescent="0.35">
      <c r="A28" s="1" t="s">
        <v>62</v>
      </c>
    </row>
    <row r="30" spans="1:1" ht="35.1" customHeight="1" x14ac:dyDescent="0.35">
      <c r="A30" s="1" t="s">
        <v>293</v>
      </c>
    </row>
    <row r="31" spans="1:1" ht="35.1" customHeight="1" x14ac:dyDescent="0.35">
      <c r="A31" s="1" t="s">
        <v>292</v>
      </c>
    </row>
    <row r="33" spans="1:1" ht="35.1" customHeight="1" x14ac:dyDescent="0.35">
      <c r="A33" s="1" t="s">
        <v>295</v>
      </c>
    </row>
    <row r="34" spans="1:1" ht="35.1" customHeight="1" x14ac:dyDescent="0.35">
      <c r="A34" s="1" t="s">
        <v>294</v>
      </c>
    </row>
    <row r="36" spans="1:1" ht="35.1" customHeight="1" x14ac:dyDescent="0.35">
      <c r="A36" s="1" t="s">
        <v>297</v>
      </c>
    </row>
    <row r="37" spans="1:1" ht="35.1" customHeight="1" x14ac:dyDescent="0.35">
      <c r="A37" s="1" t="s">
        <v>296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7"/>
  <sheetViews>
    <sheetView workbookViewId="0"/>
  </sheetViews>
  <sheetFormatPr defaultRowHeight="35.1" customHeight="1" x14ac:dyDescent="0.45"/>
  <cols>
    <col min="1" max="1" width="33.7109375" style="10" customWidth="1"/>
    <col min="2" max="2" width="17.5703125" style="10" customWidth="1"/>
    <col min="3" max="3" width="18.5703125" style="10" customWidth="1"/>
    <col min="4" max="4" width="19.7109375" style="10" customWidth="1"/>
    <col min="5" max="5" width="18.7109375" style="10" customWidth="1"/>
    <col min="6" max="16384" width="9.140625" style="10"/>
  </cols>
  <sheetData>
    <row r="1" spans="1:5" ht="35.1" customHeight="1" x14ac:dyDescent="0.45">
      <c r="A1" s="10" t="s">
        <v>423</v>
      </c>
    </row>
    <row r="2" spans="1:5" ht="35.1" customHeight="1" x14ac:dyDescent="0.45">
      <c r="A2" s="10" t="s">
        <v>424</v>
      </c>
    </row>
    <row r="3" spans="1:5" ht="35.1" customHeight="1" x14ac:dyDescent="0.45">
      <c r="A3" s="10" t="s">
        <v>425</v>
      </c>
    </row>
    <row r="4" spans="1:5" ht="35.1" customHeight="1" x14ac:dyDescent="0.45">
      <c r="A4" s="1" t="s">
        <v>426</v>
      </c>
      <c r="B4" s="1" t="s">
        <v>427</v>
      </c>
    </row>
    <row r="5" spans="1:5" ht="35.1" customHeight="1" x14ac:dyDescent="0.45">
      <c r="A5" s="1" t="s">
        <v>428</v>
      </c>
      <c r="B5" s="1" t="s">
        <v>429</v>
      </c>
    </row>
    <row r="6" spans="1:5" ht="35.1" customHeight="1" x14ac:dyDescent="0.45">
      <c r="A6" s="1" t="s">
        <v>430</v>
      </c>
      <c r="B6" s="34">
        <v>0.1</v>
      </c>
    </row>
    <row r="7" spans="1:5" ht="35.1" customHeight="1" x14ac:dyDescent="0.45">
      <c r="A7" s="1" t="s">
        <v>431</v>
      </c>
      <c r="B7" s="34">
        <v>0.2</v>
      </c>
    </row>
    <row r="8" spans="1:5" ht="27.75" customHeight="1" x14ac:dyDescent="0.45">
      <c r="A8" s="1" t="s">
        <v>432</v>
      </c>
      <c r="B8" s="34">
        <v>0.3</v>
      </c>
    </row>
    <row r="9" spans="1:5" ht="18.75" customHeight="1" x14ac:dyDescent="0.45"/>
    <row r="10" spans="1:5" ht="35.1" customHeight="1" x14ac:dyDescent="0.45">
      <c r="A10" s="10" t="s">
        <v>442</v>
      </c>
    </row>
    <row r="11" spans="1:5" ht="35.1" customHeight="1" x14ac:dyDescent="0.45">
      <c r="A11" s="10" t="s">
        <v>433</v>
      </c>
    </row>
    <row r="12" spans="1:5" ht="35.1" customHeight="1" x14ac:dyDescent="0.45">
      <c r="A12" s="10" t="s">
        <v>434</v>
      </c>
    </row>
    <row r="13" spans="1:5" s="33" customFormat="1" ht="36" customHeight="1" x14ac:dyDescent="0.25">
      <c r="A13" s="31" t="s">
        <v>273</v>
      </c>
      <c r="B13" s="32" t="s">
        <v>426</v>
      </c>
      <c r="C13" s="32" t="s">
        <v>435</v>
      </c>
      <c r="D13" s="31" t="s">
        <v>436</v>
      </c>
      <c r="E13" s="31" t="s">
        <v>437</v>
      </c>
    </row>
    <row r="14" spans="1:5" ht="35.1" customHeight="1" x14ac:dyDescent="0.45">
      <c r="A14" s="19" t="s">
        <v>43</v>
      </c>
      <c r="B14" s="19">
        <v>98000</v>
      </c>
      <c r="C14" s="19">
        <f>IF(B14&lt;=100000,0,IF(B14&lt;=160000,(B14-100000)*10%,IF(B14&lt;=230000,60000*10%+(B14-160000)*20%,60000*10%+70000*20%+(B14-230000)*30%)))</f>
        <v>0</v>
      </c>
      <c r="D14" s="19">
        <f>IF(B14&gt;500000,C14*3%,0)</f>
        <v>0</v>
      </c>
      <c r="E14" s="19">
        <f>C14+D14</f>
        <v>0</v>
      </c>
    </row>
    <row r="15" spans="1:5" ht="35.1" customHeight="1" x14ac:dyDescent="0.45">
      <c r="A15" s="19" t="s">
        <v>438</v>
      </c>
      <c r="B15" s="19">
        <v>158000</v>
      </c>
      <c r="C15" s="19">
        <f>IF(B15&lt;=100000,0,IF(B15&lt;=160000,(B15-100000)*10%,IF(B15&lt;=230000,60000*10%+(B15-160000)*20%,60000*10%+70000*20%+(B15-230000)*30%)))</f>
        <v>5800</v>
      </c>
      <c r="D15" s="19">
        <f t="shared" ref="D15:D18" si="0">IF(B15&gt;500000,C15*3%,0)</f>
        <v>0</v>
      </c>
      <c r="E15" s="19">
        <f t="shared" ref="E15:E18" si="1">C15+D15</f>
        <v>5800</v>
      </c>
    </row>
    <row r="16" spans="1:5" ht="35.1" customHeight="1" x14ac:dyDescent="0.45">
      <c r="A16" s="19" t="s">
        <v>439</v>
      </c>
      <c r="B16" s="19">
        <v>193000</v>
      </c>
      <c r="C16" s="19">
        <f t="shared" ref="C16:C18" si="2">IF(B16&lt;=100000,0,IF(B16&lt;=160000,(B16-100000)*10%,IF(B16&lt;=230000,60000*10%+(B16-160000)*20%,60000*10%+70000*20%+(B16-230000)*30%)))</f>
        <v>12600</v>
      </c>
      <c r="D16" s="19">
        <f t="shared" si="0"/>
        <v>0</v>
      </c>
      <c r="E16" s="19">
        <f t="shared" si="1"/>
        <v>12600</v>
      </c>
    </row>
    <row r="17" spans="1:8" ht="35.1" customHeight="1" x14ac:dyDescent="0.45">
      <c r="A17" s="19" t="s">
        <v>440</v>
      </c>
      <c r="B17" s="19">
        <v>245000</v>
      </c>
      <c r="C17" s="19">
        <f t="shared" si="2"/>
        <v>24500</v>
      </c>
      <c r="D17" s="19">
        <f t="shared" si="0"/>
        <v>0</v>
      </c>
      <c r="E17" s="19">
        <f t="shared" si="1"/>
        <v>24500</v>
      </c>
    </row>
    <row r="18" spans="1:8" ht="35.1" customHeight="1" x14ac:dyDescent="0.45">
      <c r="A18" s="19" t="s">
        <v>414</v>
      </c>
      <c r="B18" s="19">
        <v>540000</v>
      </c>
      <c r="C18" s="19">
        <f t="shared" si="2"/>
        <v>113000</v>
      </c>
      <c r="D18" s="19">
        <f t="shared" si="0"/>
        <v>3390</v>
      </c>
      <c r="E18" s="19">
        <f t="shared" si="1"/>
        <v>116390</v>
      </c>
    </row>
    <row r="20" spans="1:8" ht="35.1" customHeight="1" x14ac:dyDescent="0.45">
      <c r="A20" s="10" t="s">
        <v>443</v>
      </c>
    </row>
    <row r="21" spans="1:8" ht="93.75" customHeight="1" x14ac:dyDescent="0.45">
      <c r="A21" s="35" t="s">
        <v>441</v>
      </c>
      <c r="B21" s="35"/>
      <c r="C21" s="35"/>
      <c r="D21" s="35"/>
      <c r="E21" s="35"/>
      <c r="F21" s="35"/>
      <c r="G21" s="35"/>
      <c r="H21" s="35"/>
    </row>
    <row r="23" spans="1:8" ht="35.1" customHeight="1" x14ac:dyDescent="0.45">
      <c r="A23" s="10" t="s">
        <v>444</v>
      </c>
    </row>
    <row r="24" spans="1:8" ht="35.1" customHeight="1" x14ac:dyDescent="0.45">
      <c r="A24" s="10" t="s">
        <v>445</v>
      </c>
    </row>
    <row r="26" spans="1:8" ht="35.1" customHeight="1" x14ac:dyDescent="0.45">
      <c r="A26" s="10" t="s">
        <v>446</v>
      </c>
    </row>
    <row r="27" spans="1:8" ht="35.1" customHeight="1" x14ac:dyDescent="0.45">
      <c r="A27" s="10" t="s">
        <v>447</v>
      </c>
    </row>
  </sheetData>
  <mergeCells count="1">
    <mergeCell ref="A21:H2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9"/>
  <sheetViews>
    <sheetView topLeftCell="A70" workbookViewId="0">
      <selection sqref="A1:D2"/>
    </sheetView>
  </sheetViews>
  <sheetFormatPr defaultRowHeight="35.1" customHeight="1" x14ac:dyDescent="0.35"/>
  <cols>
    <col min="1" max="1" width="15.140625" style="1" customWidth="1"/>
    <col min="2" max="2" width="13.42578125" style="1" customWidth="1"/>
    <col min="3" max="3" width="15.140625" style="1" customWidth="1"/>
    <col min="4" max="4" width="13.28515625" style="1" customWidth="1"/>
    <col min="5" max="5" width="12" style="1" customWidth="1"/>
    <col min="6" max="6" width="13.5703125" style="1" customWidth="1"/>
    <col min="7" max="7" width="26.28515625" style="1" customWidth="1"/>
    <col min="8" max="8" width="11.42578125" style="1" customWidth="1"/>
    <col min="9" max="16384" width="9.140625" style="1"/>
  </cols>
  <sheetData>
    <row r="1" spans="1:10" ht="35.1" customHeight="1" x14ac:dyDescent="0.45">
      <c r="A1" s="37" t="s">
        <v>174</v>
      </c>
      <c r="B1" s="37"/>
      <c r="C1" s="37"/>
      <c r="D1" s="37"/>
    </row>
    <row r="2" spans="1:10" ht="35.1" customHeight="1" x14ac:dyDescent="0.35">
      <c r="A2" s="40" t="s">
        <v>106</v>
      </c>
      <c r="B2" s="40"/>
      <c r="C2" s="21"/>
      <c r="D2" s="21"/>
    </row>
    <row r="3" spans="1:10" ht="35.1" customHeight="1" x14ac:dyDescent="0.35">
      <c r="A3" s="1" t="s">
        <v>107</v>
      </c>
    </row>
    <row r="4" spans="1:10" ht="35.1" customHeight="1" x14ac:dyDescent="0.35">
      <c r="A4" s="1" t="s">
        <v>108</v>
      </c>
    </row>
    <row r="5" spans="1:10" ht="35.1" customHeight="1" x14ac:dyDescent="0.35">
      <c r="A5" s="1" t="s">
        <v>111</v>
      </c>
    </row>
    <row r="6" spans="1:10" ht="35.1" customHeight="1" x14ac:dyDescent="0.35">
      <c r="A6" s="1" t="s">
        <v>109</v>
      </c>
    </row>
    <row r="7" spans="1:10" ht="35.1" customHeight="1" x14ac:dyDescent="0.35">
      <c r="A7" s="1" t="s">
        <v>110</v>
      </c>
    </row>
    <row r="9" spans="1:10" ht="35.1" customHeight="1" x14ac:dyDescent="0.35">
      <c r="A9" s="6" t="s">
        <v>30</v>
      </c>
    </row>
    <row r="10" spans="1:10" ht="35.1" customHeight="1" x14ac:dyDescent="0.35">
      <c r="A10" s="1" t="s">
        <v>112</v>
      </c>
    </row>
    <row r="11" spans="1:10" ht="35.1" customHeight="1" x14ac:dyDescent="0.35">
      <c r="A11" s="1" t="s">
        <v>113</v>
      </c>
    </row>
    <row r="12" spans="1:10" ht="35.1" customHeight="1" x14ac:dyDescent="0.35">
      <c r="A12" s="1" t="s">
        <v>114</v>
      </c>
      <c r="B12" s="1">
        <v>87</v>
      </c>
      <c r="C12" s="1">
        <v>64</v>
      </c>
      <c r="D12" s="1">
        <v>69</v>
      </c>
      <c r="E12" s="1">
        <v>39</v>
      </c>
      <c r="F12" s="1">
        <v>34</v>
      </c>
      <c r="G12" s="1">
        <v>25</v>
      </c>
      <c r="H12" s="1">
        <v>75</v>
      </c>
      <c r="I12" s="1">
        <v>16</v>
      </c>
      <c r="J12" s="1">
        <f>COUNTIF(B12:I12,"&lt;35")</f>
        <v>3</v>
      </c>
    </row>
    <row r="13" spans="1:10" ht="35.1" customHeight="1" x14ac:dyDescent="0.35">
      <c r="A13" s="1" t="s">
        <v>149</v>
      </c>
    </row>
    <row r="14" spans="1:10" ht="35.1" customHeight="1" x14ac:dyDescent="0.35">
      <c r="A14" s="1" t="s">
        <v>115</v>
      </c>
    </row>
    <row r="15" spans="1:10" ht="35.1" customHeight="1" x14ac:dyDescent="0.35">
      <c r="A15" s="1" t="s">
        <v>116</v>
      </c>
    </row>
    <row r="16" spans="1:10" ht="35.1" customHeight="1" x14ac:dyDescent="0.35">
      <c r="A16" s="1" t="s">
        <v>117</v>
      </c>
    </row>
    <row r="17" spans="1:8" ht="35.1" customHeight="1" x14ac:dyDescent="0.35">
      <c r="A17" s="1" t="s">
        <v>118</v>
      </c>
    </row>
    <row r="18" spans="1:8" ht="35.1" customHeight="1" x14ac:dyDescent="0.35">
      <c r="A18" s="1" t="s">
        <v>119</v>
      </c>
    </row>
    <row r="19" spans="1:8" ht="35.1" customHeight="1" x14ac:dyDescent="0.35">
      <c r="A19" s="5" t="s">
        <v>120</v>
      </c>
      <c r="B19" s="5"/>
    </row>
    <row r="20" spans="1:8" ht="35.1" customHeight="1" x14ac:dyDescent="0.35">
      <c r="A20" s="1" t="s">
        <v>121</v>
      </c>
    </row>
    <row r="21" spans="1:8" ht="43.5" customHeight="1" x14ac:dyDescent="0.35">
      <c r="A21" s="1" t="s">
        <v>122</v>
      </c>
      <c r="B21" s="1" t="s">
        <v>123</v>
      </c>
      <c r="C21" s="1" t="s">
        <v>124</v>
      </c>
      <c r="D21" s="1" t="s">
        <v>125</v>
      </c>
      <c r="E21" s="1" t="s">
        <v>126</v>
      </c>
      <c r="F21" s="4" t="s">
        <v>131</v>
      </c>
      <c r="G21" s="1" t="s">
        <v>127</v>
      </c>
    </row>
    <row r="23" spans="1:8" ht="35.1" customHeight="1" x14ac:dyDescent="0.35">
      <c r="A23" s="38" t="s">
        <v>128</v>
      </c>
      <c r="B23" s="38"/>
      <c r="C23" s="38"/>
      <c r="D23" s="38"/>
      <c r="E23" s="38"/>
      <c r="F23" s="38" t="s">
        <v>129</v>
      </c>
      <c r="G23" s="38"/>
      <c r="H23" s="1">
        <f>COUNTIF($A$21:$G$21,"*es")</f>
        <v>3</v>
      </c>
    </row>
    <row r="25" spans="1:8" ht="35.1" customHeight="1" x14ac:dyDescent="0.35">
      <c r="A25" s="39" t="s">
        <v>130</v>
      </c>
      <c r="B25" s="39"/>
      <c r="C25" s="39"/>
      <c r="D25" s="39"/>
      <c r="E25" s="39"/>
      <c r="F25" s="39" t="s">
        <v>134</v>
      </c>
      <c r="G25" s="39"/>
      <c r="H25" s="1">
        <f>COUNTIF($A$21:$G$21,"*apple")</f>
        <v>2</v>
      </c>
    </row>
    <row r="27" spans="1:8" ht="35.1" customHeight="1" x14ac:dyDescent="0.35">
      <c r="A27" s="39" t="s">
        <v>132</v>
      </c>
      <c r="B27" s="39"/>
      <c r="C27" s="39"/>
      <c r="D27" s="39"/>
      <c r="E27" s="39"/>
      <c r="F27" s="39" t="s">
        <v>135</v>
      </c>
      <c r="G27" s="39"/>
      <c r="H27" s="1">
        <f>COUNTIF($A$21:$G$21,"*ng*")</f>
        <v>2</v>
      </c>
    </row>
    <row r="28" spans="1:8" ht="35.1" customHeight="1" x14ac:dyDescent="0.35">
      <c r="A28" s="1" t="s">
        <v>133</v>
      </c>
    </row>
    <row r="30" spans="1:8" ht="35.1" customHeight="1" x14ac:dyDescent="0.35">
      <c r="A30" s="39" t="s">
        <v>132</v>
      </c>
      <c r="B30" s="39"/>
      <c r="C30" s="39"/>
      <c r="D30" s="39"/>
      <c r="E30" s="39"/>
      <c r="F30" s="39" t="s">
        <v>137</v>
      </c>
      <c r="G30" s="39"/>
      <c r="H30" s="1">
        <f>COUNTIF($A$21:$G$21,"*b*")</f>
        <v>1</v>
      </c>
    </row>
    <row r="31" spans="1:8" ht="35.1" customHeight="1" x14ac:dyDescent="0.35">
      <c r="A31" s="1" t="s">
        <v>136</v>
      </c>
    </row>
    <row r="33" spans="1:10" ht="35.1" customHeight="1" x14ac:dyDescent="0.35">
      <c r="A33" s="39" t="s">
        <v>132</v>
      </c>
      <c r="B33" s="39"/>
      <c r="C33" s="39"/>
      <c r="D33" s="39"/>
      <c r="E33" s="39"/>
      <c r="F33" s="39" t="s">
        <v>139</v>
      </c>
      <c r="G33" s="39"/>
      <c r="H33" s="1">
        <f>COUNTIF($A$21:$G$21,"?????")</f>
        <v>1</v>
      </c>
    </row>
    <row r="34" spans="1:10" ht="35.1" customHeight="1" x14ac:dyDescent="0.35">
      <c r="A34" s="1" t="s">
        <v>138</v>
      </c>
    </row>
    <row r="36" spans="1:10" ht="35.1" customHeight="1" x14ac:dyDescent="0.35">
      <c r="A36" s="36" t="s">
        <v>140</v>
      </c>
      <c r="B36" s="36"/>
    </row>
    <row r="37" spans="1:10" ht="35.1" customHeight="1" x14ac:dyDescent="0.35">
      <c r="A37" s="1" t="s">
        <v>141</v>
      </c>
    </row>
    <row r="38" spans="1:10" ht="35.1" customHeight="1" x14ac:dyDescent="0.35">
      <c r="A38" s="1" t="s">
        <v>142</v>
      </c>
    </row>
    <row r="39" spans="1:10" ht="35.1" customHeight="1" x14ac:dyDescent="0.35">
      <c r="A39" s="1" t="s">
        <v>143</v>
      </c>
    </row>
    <row r="40" spans="1:10" ht="35.1" customHeight="1" x14ac:dyDescent="0.35">
      <c r="A40" s="1" t="s">
        <v>144</v>
      </c>
    </row>
    <row r="41" spans="1:10" ht="35.1" customHeight="1" x14ac:dyDescent="0.35">
      <c r="A41" s="1" t="s">
        <v>145</v>
      </c>
    </row>
    <row r="42" spans="1:10" ht="35.1" customHeight="1" x14ac:dyDescent="0.35">
      <c r="A42" s="1" t="s">
        <v>146</v>
      </c>
    </row>
    <row r="43" spans="1:10" ht="35.1" customHeight="1" x14ac:dyDescent="0.35">
      <c r="A43" s="6" t="s">
        <v>30</v>
      </c>
    </row>
    <row r="44" spans="1:10" ht="35.1" customHeight="1" x14ac:dyDescent="0.35">
      <c r="A44" s="1" t="s">
        <v>112</v>
      </c>
    </row>
    <row r="45" spans="1:10" ht="35.1" customHeight="1" x14ac:dyDescent="0.35">
      <c r="A45" s="1" t="s">
        <v>147</v>
      </c>
    </row>
    <row r="46" spans="1:10" ht="35.1" customHeight="1" x14ac:dyDescent="0.35">
      <c r="A46" s="1" t="s">
        <v>114</v>
      </c>
      <c r="B46" s="1">
        <v>87</v>
      </c>
      <c r="C46" s="1">
        <v>64</v>
      </c>
      <c r="D46" s="1">
        <v>69</v>
      </c>
      <c r="E46" s="1">
        <v>39</v>
      </c>
      <c r="F46" s="1">
        <v>34</v>
      </c>
      <c r="G46" s="1">
        <v>25</v>
      </c>
      <c r="H46" s="1">
        <v>75</v>
      </c>
      <c r="I46" s="1">
        <v>16</v>
      </c>
      <c r="J46" s="1">
        <f>SUMIF(B46:I46,"&gt;=35")</f>
        <v>334</v>
      </c>
    </row>
    <row r="47" spans="1:10" ht="35.1" customHeight="1" x14ac:dyDescent="0.35">
      <c r="A47" s="1" t="s">
        <v>148</v>
      </c>
    </row>
    <row r="49" spans="1:9" ht="35.1" customHeight="1" x14ac:dyDescent="0.35">
      <c r="A49" s="36" t="s">
        <v>154</v>
      </c>
      <c r="B49" s="36"/>
    </row>
    <row r="50" spans="1:9" ht="35.1" customHeight="1" x14ac:dyDescent="0.35">
      <c r="A50" s="1" t="s">
        <v>155</v>
      </c>
    </row>
    <row r="51" spans="1:9" ht="35.1" customHeight="1" x14ac:dyDescent="0.35">
      <c r="A51" s="1" t="s">
        <v>156</v>
      </c>
    </row>
    <row r="52" spans="1:9" ht="35.1" customHeight="1" x14ac:dyDescent="0.35">
      <c r="A52" s="1" t="s">
        <v>157</v>
      </c>
    </row>
    <row r="53" spans="1:9" ht="35.1" customHeight="1" x14ac:dyDescent="0.35">
      <c r="A53" s="1" t="s">
        <v>144</v>
      </c>
    </row>
    <row r="54" spans="1:9" ht="35.1" customHeight="1" x14ac:dyDescent="0.35">
      <c r="A54" s="1" t="s">
        <v>158</v>
      </c>
    </row>
    <row r="55" spans="1:9" ht="35.1" customHeight="1" x14ac:dyDescent="0.35">
      <c r="A55" s="6" t="s">
        <v>30</v>
      </c>
    </row>
    <row r="56" spans="1:9" ht="35.1" customHeight="1" x14ac:dyDescent="0.35">
      <c r="A56" s="1" t="s">
        <v>159</v>
      </c>
    </row>
    <row r="57" spans="1:9" ht="35.1" customHeight="1" x14ac:dyDescent="0.35">
      <c r="A57" s="1" t="s">
        <v>160</v>
      </c>
    </row>
    <row r="58" spans="1:9" ht="35.1" customHeight="1" x14ac:dyDescent="0.35">
      <c r="A58" s="1" t="s">
        <v>161</v>
      </c>
      <c r="B58" s="1" t="s">
        <v>162</v>
      </c>
      <c r="C58" s="1" t="s">
        <v>162</v>
      </c>
      <c r="D58" s="1" t="s">
        <v>21</v>
      </c>
      <c r="E58" s="1" t="s">
        <v>162</v>
      </c>
      <c r="F58" s="1" t="s">
        <v>21</v>
      </c>
      <c r="G58" s="1" t="s">
        <v>21</v>
      </c>
      <c r="H58" s="1" t="s">
        <v>162</v>
      </c>
      <c r="I58" s="1" t="s">
        <v>162</v>
      </c>
    </row>
    <row r="59" spans="1:9" ht="35.1" customHeight="1" x14ac:dyDescent="0.35">
      <c r="A59" s="1" t="s">
        <v>163</v>
      </c>
      <c r="B59" s="1">
        <v>19</v>
      </c>
      <c r="C59" s="1">
        <v>18</v>
      </c>
      <c r="D59" s="1">
        <v>20</v>
      </c>
      <c r="E59" s="1">
        <v>25</v>
      </c>
      <c r="F59" s="1">
        <v>21</v>
      </c>
      <c r="G59" s="1">
        <v>28</v>
      </c>
      <c r="H59" s="1">
        <v>36</v>
      </c>
      <c r="I59" s="1">
        <v>24</v>
      </c>
    </row>
    <row r="60" spans="1:9" ht="35.1" customHeight="1" x14ac:dyDescent="0.35">
      <c r="A60" s="1" t="s">
        <v>164</v>
      </c>
      <c r="D60" s="1">
        <f>AVERAGEIF(B58:I58,"M",B59:I59)</f>
        <v>24.4</v>
      </c>
      <c r="F60" s="1" t="s">
        <v>166</v>
      </c>
    </row>
    <row r="61" spans="1:9" ht="35.1" customHeight="1" x14ac:dyDescent="0.35">
      <c r="A61" s="1" t="s">
        <v>165</v>
      </c>
      <c r="D61" s="1">
        <f>AVERAGEIF(B58:I58,"F",B59:I59)</f>
        <v>23</v>
      </c>
      <c r="F61" s="1" t="s">
        <v>167</v>
      </c>
    </row>
    <row r="63" spans="1:9" ht="35.1" customHeight="1" x14ac:dyDescent="0.35">
      <c r="A63" s="6" t="s">
        <v>30</v>
      </c>
    </row>
    <row r="64" spans="1:9" ht="35.1" customHeight="1" x14ac:dyDescent="0.35">
      <c r="A64" s="1" t="s">
        <v>168</v>
      </c>
    </row>
    <row r="65" spans="1:10" ht="35.1" customHeight="1" x14ac:dyDescent="0.35">
      <c r="A65" s="1" t="s">
        <v>169</v>
      </c>
    </row>
    <row r="66" spans="1:10" ht="35.1" customHeight="1" x14ac:dyDescent="0.35">
      <c r="A66" s="1" t="s">
        <v>170</v>
      </c>
      <c r="B66" s="1">
        <v>1</v>
      </c>
      <c r="C66" s="1">
        <v>2</v>
      </c>
      <c r="D66" s="1">
        <v>3</v>
      </c>
      <c r="E66" s="1">
        <v>4</v>
      </c>
      <c r="F66" s="1">
        <v>5</v>
      </c>
      <c r="G66" s="1">
        <v>6</v>
      </c>
      <c r="H66" s="1">
        <v>7</v>
      </c>
      <c r="I66" s="1">
        <v>8</v>
      </c>
    </row>
    <row r="67" spans="1:10" ht="35.1" customHeight="1" x14ac:dyDescent="0.35">
      <c r="A67" s="1" t="s">
        <v>15</v>
      </c>
      <c r="B67" s="1">
        <v>56</v>
      </c>
      <c r="C67" s="1">
        <v>52</v>
      </c>
      <c r="D67" s="1">
        <v>35</v>
      </c>
      <c r="E67" s="1">
        <v>45</v>
      </c>
      <c r="F67" s="1" t="s">
        <v>171</v>
      </c>
      <c r="G67" s="1">
        <v>32</v>
      </c>
      <c r="H67" s="1" t="s">
        <v>171</v>
      </c>
      <c r="I67" s="1" t="s">
        <v>171</v>
      </c>
      <c r="J67" s="1">
        <v>41</v>
      </c>
    </row>
    <row r="69" spans="1:10" ht="35.1" customHeight="1" x14ac:dyDescent="0.35">
      <c r="A69" s="1" t="s">
        <v>172</v>
      </c>
      <c r="C69" s="1">
        <f>AVERAGEIF(B67:J67,"&gt;=0",B67:J67)</f>
        <v>43.5</v>
      </c>
      <c r="E69" s="1" t="s">
        <v>173</v>
      </c>
    </row>
  </sheetData>
  <mergeCells count="14">
    <mergeCell ref="A49:B49"/>
    <mergeCell ref="A1:D1"/>
    <mergeCell ref="A36:B36"/>
    <mergeCell ref="F23:G23"/>
    <mergeCell ref="F25:G25"/>
    <mergeCell ref="A23:E23"/>
    <mergeCell ref="A25:E25"/>
    <mergeCell ref="A27:E27"/>
    <mergeCell ref="F27:G27"/>
    <mergeCell ref="A30:E30"/>
    <mergeCell ref="F30:G30"/>
    <mergeCell ref="A33:E33"/>
    <mergeCell ref="F33:G33"/>
    <mergeCell ref="A2:B2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5"/>
  <sheetViews>
    <sheetView topLeftCell="A8" zoomScale="85" zoomScaleNormal="85" workbookViewId="0">
      <selection activeCell="A17" sqref="A17"/>
    </sheetView>
  </sheetViews>
  <sheetFormatPr defaultRowHeight="35.1" customHeight="1" x14ac:dyDescent="0.4"/>
  <cols>
    <col min="1" max="16384" width="9.140625" style="7"/>
  </cols>
  <sheetData>
    <row r="1" spans="1:6" ht="43.5" customHeight="1" x14ac:dyDescent="0.4">
      <c r="A1" s="41" t="s">
        <v>175</v>
      </c>
      <c r="B1" s="41"/>
      <c r="C1" s="41"/>
      <c r="D1" s="41"/>
    </row>
    <row r="3" spans="1:6" ht="35.1" customHeight="1" x14ac:dyDescent="0.4">
      <c r="A3" s="7" t="s">
        <v>176</v>
      </c>
    </row>
    <row r="4" spans="1:6" ht="35.1" customHeight="1" x14ac:dyDescent="0.4">
      <c r="A4" s="7" t="s">
        <v>177</v>
      </c>
    </row>
    <row r="5" spans="1:6" ht="35.1" customHeight="1" x14ac:dyDescent="0.4">
      <c r="A5" s="7" t="s">
        <v>178</v>
      </c>
    </row>
    <row r="7" spans="1:6" ht="35.1" customHeight="1" x14ac:dyDescent="0.4">
      <c r="A7" s="41" t="s">
        <v>179</v>
      </c>
      <c r="B7" s="41"/>
    </row>
    <row r="8" spans="1:6" ht="35.1" customHeight="1" x14ac:dyDescent="0.4">
      <c r="A8" s="7" t="s">
        <v>180</v>
      </c>
    </row>
    <row r="9" spans="1:6" ht="35.1" customHeight="1" x14ac:dyDescent="0.4">
      <c r="A9" s="7" t="s">
        <v>181</v>
      </c>
    </row>
    <row r="10" spans="1:6" ht="35.1" customHeight="1" x14ac:dyDescent="0.4">
      <c r="A10" s="7" t="s">
        <v>182</v>
      </c>
    </row>
    <row r="11" spans="1:6" ht="35.1" customHeight="1" x14ac:dyDescent="0.4">
      <c r="A11" s="7" t="s">
        <v>183</v>
      </c>
    </row>
    <row r="12" spans="1:6" ht="35.1" customHeight="1" x14ac:dyDescent="0.4">
      <c r="A12" s="7" t="s">
        <v>184</v>
      </c>
    </row>
    <row r="14" spans="1:6" ht="35.1" customHeight="1" x14ac:dyDescent="0.4">
      <c r="A14" s="7" t="s">
        <v>30</v>
      </c>
    </row>
    <row r="15" spans="1:6" ht="35.1" customHeight="1" x14ac:dyDescent="0.4">
      <c r="A15" s="7" t="str">
        <f>LEFT("Commerce",3)</f>
        <v>Com</v>
      </c>
    </row>
    <row r="16" spans="1:6" ht="35.1" customHeight="1" x14ac:dyDescent="0.4">
      <c r="A16" s="7" t="s">
        <v>185</v>
      </c>
      <c r="F16" s="7" t="s">
        <v>186</v>
      </c>
    </row>
    <row r="18" spans="1:7" ht="35.1" customHeight="1" x14ac:dyDescent="0.4">
      <c r="A18" s="7" t="str">
        <f>LEFT("Commerce")</f>
        <v>C</v>
      </c>
    </row>
    <row r="19" spans="1:7" ht="35.1" customHeight="1" x14ac:dyDescent="0.4">
      <c r="A19" s="7" t="s">
        <v>187</v>
      </c>
    </row>
    <row r="20" spans="1:7" ht="35.1" customHeight="1" x14ac:dyDescent="0.4">
      <c r="A20" s="7" t="s">
        <v>188</v>
      </c>
    </row>
    <row r="21" spans="1:7" ht="35.1" customHeight="1" x14ac:dyDescent="0.4">
      <c r="A21" s="7" t="s">
        <v>189</v>
      </c>
    </row>
    <row r="23" spans="1:7" ht="35.1" customHeight="1" x14ac:dyDescent="0.4">
      <c r="A23" s="41" t="s">
        <v>190</v>
      </c>
      <c r="B23" s="41"/>
      <c r="C23" s="41"/>
    </row>
    <row r="24" spans="1:7" ht="35.1" customHeight="1" x14ac:dyDescent="0.4">
      <c r="A24" s="7" t="s">
        <v>180</v>
      </c>
    </row>
    <row r="25" spans="1:7" ht="35.1" customHeight="1" x14ac:dyDescent="0.4">
      <c r="A25" s="7" t="s">
        <v>191</v>
      </c>
    </row>
    <row r="26" spans="1:7" ht="35.1" customHeight="1" x14ac:dyDescent="0.4">
      <c r="A26" s="7" t="s">
        <v>192</v>
      </c>
    </row>
    <row r="27" spans="1:7" ht="35.1" customHeight="1" x14ac:dyDescent="0.4">
      <c r="A27" s="7" t="s">
        <v>183</v>
      </c>
    </row>
    <row r="28" spans="1:7" ht="35.1" customHeight="1" x14ac:dyDescent="0.4">
      <c r="A28" s="7" t="s">
        <v>184</v>
      </c>
    </row>
    <row r="30" spans="1:7" ht="35.1" customHeight="1" x14ac:dyDescent="0.4">
      <c r="A30" s="7" t="s">
        <v>30</v>
      </c>
    </row>
    <row r="31" spans="1:7" ht="35.1" customHeight="1" x14ac:dyDescent="0.4">
      <c r="A31" s="7" t="str">
        <f>RIGHT("Commerce",5)</f>
        <v>merce</v>
      </c>
    </row>
    <row r="32" spans="1:7" ht="35.1" customHeight="1" x14ac:dyDescent="0.4">
      <c r="A32" s="7" t="s">
        <v>193</v>
      </c>
      <c r="G32" s="7" t="s">
        <v>194</v>
      </c>
    </row>
    <row r="34" spans="1:8" ht="35.1" customHeight="1" x14ac:dyDescent="0.4">
      <c r="A34" s="7" t="str">
        <f>RIGHT("Commerce")</f>
        <v>e</v>
      </c>
    </row>
    <row r="35" spans="1:8" ht="35.1" customHeight="1" x14ac:dyDescent="0.4">
      <c r="A35" s="7" t="s">
        <v>195</v>
      </c>
    </row>
    <row r="36" spans="1:8" ht="35.1" customHeight="1" x14ac:dyDescent="0.4">
      <c r="A36" s="7" t="s">
        <v>196</v>
      </c>
    </row>
    <row r="37" spans="1:8" ht="35.1" customHeight="1" x14ac:dyDescent="0.4">
      <c r="A37" s="7" t="s">
        <v>189</v>
      </c>
    </row>
    <row r="39" spans="1:8" ht="35.1" customHeight="1" x14ac:dyDescent="0.4">
      <c r="A39" s="41" t="s">
        <v>197</v>
      </c>
      <c r="B39" s="41"/>
      <c r="C39" s="41"/>
    </row>
    <row r="40" spans="1:8" ht="35.1" customHeight="1" x14ac:dyDescent="0.4">
      <c r="A40" s="7" t="s">
        <v>198</v>
      </c>
    </row>
    <row r="41" spans="1:8" ht="35.1" customHeight="1" x14ac:dyDescent="0.4">
      <c r="A41" s="7" t="s">
        <v>199</v>
      </c>
    </row>
    <row r="43" spans="1:8" ht="35.1" customHeight="1" x14ac:dyDescent="0.4">
      <c r="A43" s="7" t="s">
        <v>200</v>
      </c>
    </row>
    <row r="44" spans="1:8" ht="35.1" customHeight="1" x14ac:dyDescent="0.4">
      <c r="A44" s="7" t="s">
        <v>183</v>
      </c>
    </row>
    <row r="45" spans="1:8" ht="35.1" customHeight="1" x14ac:dyDescent="0.4">
      <c r="A45" s="7" t="s">
        <v>201</v>
      </c>
    </row>
    <row r="46" spans="1:8" ht="35.1" customHeight="1" x14ac:dyDescent="0.4">
      <c r="A46" s="7" t="s">
        <v>184</v>
      </c>
    </row>
    <row r="47" spans="1:8" ht="35.1" customHeight="1" x14ac:dyDescent="0.4">
      <c r="A47" s="7" t="s">
        <v>30</v>
      </c>
    </row>
    <row r="48" spans="1:8" ht="39.950000000000003" customHeight="1" x14ac:dyDescent="0.4">
      <c r="A48" s="42" t="s">
        <v>202</v>
      </c>
      <c r="B48" s="42"/>
      <c r="C48" s="42"/>
      <c r="D48" s="42" t="s">
        <v>203</v>
      </c>
      <c r="E48" s="42"/>
      <c r="F48" s="42"/>
      <c r="G48" s="8" t="s">
        <v>204</v>
      </c>
      <c r="H48" s="8"/>
    </row>
    <row r="49" spans="1:8" ht="39.950000000000003" customHeight="1" x14ac:dyDescent="0.4">
      <c r="A49" s="42" t="s">
        <v>205</v>
      </c>
      <c r="B49" s="42"/>
      <c r="C49" s="42"/>
      <c r="D49" s="42" t="s">
        <v>210</v>
      </c>
      <c r="E49" s="42"/>
      <c r="F49" s="42"/>
      <c r="G49" s="42" t="s">
        <v>209</v>
      </c>
      <c r="H49" s="42"/>
    </row>
    <row r="50" spans="1:8" ht="39.950000000000003" customHeight="1" x14ac:dyDescent="0.4">
      <c r="A50" s="42" t="s">
        <v>205</v>
      </c>
      <c r="B50" s="42"/>
      <c r="C50" s="42"/>
      <c r="D50" s="42" t="s">
        <v>212</v>
      </c>
      <c r="E50" s="42"/>
      <c r="F50" s="42"/>
      <c r="G50" s="42" t="s">
        <v>211</v>
      </c>
      <c r="H50" s="42"/>
    </row>
    <row r="51" spans="1:8" ht="39.950000000000003" customHeight="1" x14ac:dyDescent="0.4">
      <c r="A51" s="42" t="s">
        <v>205</v>
      </c>
      <c r="B51" s="42"/>
      <c r="C51" s="42"/>
      <c r="D51" s="42" t="s">
        <v>214</v>
      </c>
      <c r="E51" s="42"/>
      <c r="F51" s="42"/>
      <c r="G51" s="42" t="s">
        <v>213</v>
      </c>
      <c r="H51" s="42"/>
    </row>
    <row r="52" spans="1:8" ht="39.950000000000003" customHeight="1" x14ac:dyDescent="0.4">
      <c r="A52" s="42" t="s">
        <v>206</v>
      </c>
      <c r="B52" s="42"/>
      <c r="C52" s="42"/>
      <c r="D52" s="42" t="s">
        <v>215</v>
      </c>
      <c r="E52" s="42"/>
      <c r="F52" s="42"/>
      <c r="G52" s="42" t="s">
        <v>208</v>
      </c>
      <c r="H52" s="42"/>
    </row>
    <row r="53" spans="1:8" ht="39.950000000000003" customHeight="1" x14ac:dyDescent="0.4">
      <c r="A53" s="42" t="s">
        <v>207</v>
      </c>
      <c r="B53" s="42"/>
      <c r="C53" s="42"/>
      <c r="D53" s="42" t="s">
        <v>216</v>
      </c>
      <c r="E53" s="42"/>
      <c r="F53" s="42"/>
      <c r="G53" s="42"/>
      <c r="H53" s="42"/>
    </row>
    <row r="54" spans="1:8" ht="39.950000000000003" customHeight="1" x14ac:dyDescent="0.4">
      <c r="A54" s="42" t="s">
        <v>208</v>
      </c>
      <c r="B54" s="42"/>
      <c r="C54" s="42"/>
      <c r="D54" s="42" t="s">
        <v>217</v>
      </c>
      <c r="E54" s="42"/>
      <c r="F54" s="42"/>
      <c r="G54" s="42" t="e">
        <v>#VALUE!</v>
      </c>
      <c r="H54" s="42"/>
    </row>
    <row r="55" spans="1:8" ht="39.950000000000003" customHeight="1" x14ac:dyDescent="0.4">
      <c r="A55" s="42">
        <v>9866054091</v>
      </c>
      <c r="B55" s="42"/>
      <c r="C55" s="42"/>
      <c r="D55" s="42" t="s">
        <v>218</v>
      </c>
      <c r="E55" s="42"/>
      <c r="F55" s="42"/>
      <c r="G55" s="42">
        <v>540</v>
      </c>
      <c r="H55" s="42"/>
    </row>
    <row r="56" spans="1:8" ht="35.1" customHeight="1" x14ac:dyDescent="0.4">
      <c r="A56" s="43"/>
      <c r="B56" s="43"/>
      <c r="C56" s="43"/>
      <c r="D56" s="43"/>
      <c r="E56" s="43"/>
      <c r="F56" s="43"/>
      <c r="G56" s="43"/>
      <c r="H56" s="43"/>
    </row>
    <row r="57" spans="1:8" ht="35.1" customHeight="1" x14ac:dyDescent="0.4">
      <c r="A57" s="43"/>
      <c r="B57" s="43"/>
      <c r="C57" s="43"/>
      <c r="D57" s="43"/>
      <c r="E57" s="43"/>
      <c r="F57" s="43"/>
      <c r="G57" s="43"/>
      <c r="H57" s="43"/>
    </row>
    <row r="58" spans="1:8" ht="35.1" customHeight="1" x14ac:dyDescent="0.4">
      <c r="A58" s="41" t="s">
        <v>219</v>
      </c>
      <c r="B58" s="41"/>
    </row>
    <row r="59" spans="1:8" ht="35.1" customHeight="1" x14ac:dyDescent="0.4">
      <c r="A59" s="7" t="s">
        <v>220</v>
      </c>
    </row>
    <row r="60" spans="1:8" ht="35.1" customHeight="1" x14ac:dyDescent="0.4">
      <c r="A60" s="7" t="s">
        <v>221</v>
      </c>
    </row>
    <row r="61" spans="1:8" ht="35.1" customHeight="1" x14ac:dyDescent="0.4">
      <c r="A61" s="7" t="s">
        <v>222</v>
      </c>
    </row>
    <row r="63" spans="1:8" ht="35.1" customHeight="1" x14ac:dyDescent="0.4">
      <c r="A63" s="7" t="s">
        <v>30</v>
      </c>
    </row>
    <row r="64" spans="1:8" ht="35.1" customHeight="1" x14ac:dyDescent="0.4">
      <c r="A64" s="7" t="s">
        <v>223</v>
      </c>
    </row>
    <row r="65" spans="1:5" ht="35.1" customHeight="1" x14ac:dyDescent="0.4">
      <c r="A65" s="7" t="s">
        <v>224</v>
      </c>
    </row>
    <row r="66" spans="1:5" ht="35.1" customHeight="1" x14ac:dyDescent="0.4">
      <c r="A66" s="7" t="s">
        <v>225</v>
      </c>
    </row>
    <row r="67" spans="1:5" ht="35.1" customHeight="1" x14ac:dyDescent="0.4">
      <c r="A67" s="7" t="s">
        <v>226</v>
      </c>
    </row>
    <row r="69" spans="1:5" ht="35.1" customHeight="1" x14ac:dyDescent="0.4">
      <c r="A69" s="41" t="s">
        <v>227</v>
      </c>
      <c r="B69" s="41"/>
    </row>
    <row r="70" spans="1:5" ht="35.1" customHeight="1" x14ac:dyDescent="0.4">
      <c r="A70" s="7" t="s">
        <v>228</v>
      </c>
    </row>
    <row r="71" spans="1:5" ht="35.1" customHeight="1" x14ac:dyDescent="0.4">
      <c r="A71" s="7" t="s">
        <v>229</v>
      </c>
    </row>
    <row r="73" spans="1:5" ht="35.1" customHeight="1" x14ac:dyDescent="0.4">
      <c r="A73" s="7" t="s">
        <v>30</v>
      </c>
    </row>
    <row r="74" spans="1:5" ht="35.1" customHeight="1" x14ac:dyDescent="0.4">
      <c r="A74" s="7" t="s">
        <v>230</v>
      </c>
    </row>
    <row r="75" spans="1:5" ht="35.1" customHeight="1" x14ac:dyDescent="0.4">
      <c r="A75" s="7" t="s">
        <v>231</v>
      </c>
    </row>
    <row r="76" spans="1:5" ht="35.1" customHeight="1" x14ac:dyDescent="0.4">
      <c r="A76" s="7" t="s">
        <v>232</v>
      </c>
    </row>
    <row r="77" spans="1:5" ht="35.1" customHeight="1" x14ac:dyDescent="0.4">
      <c r="A77" s="7" t="s">
        <v>233</v>
      </c>
    </row>
    <row r="78" spans="1:5" ht="35.1" customHeight="1" x14ac:dyDescent="0.4">
      <c r="A78" s="7" t="s">
        <v>234</v>
      </c>
    </row>
    <row r="80" spans="1:5" ht="35.1" customHeight="1" x14ac:dyDescent="0.4">
      <c r="A80" s="7" t="s">
        <v>235</v>
      </c>
      <c r="E80" s="7" t="str">
        <f>UPPER(A80)</f>
        <v>TYBCOM COMMERCE</v>
      </c>
    </row>
    <row r="82" spans="1:5" ht="35.1" customHeight="1" x14ac:dyDescent="0.4">
      <c r="A82" s="41" t="s">
        <v>236</v>
      </c>
      <c r="B82" s="41"/>
    </row>
    <row r="83" spans="1:5" ht="35.1" customHeight="1" x14ac:dyDescent="0.4">
      <c r="A83" s="7" t="s">
        <v>237</v>
      </c>
    </row>
    <row r="84" spans="1:5" ht="35.1" customHeight="1" x14ac:dyDescent="0.4">
      <c r="A84" s="7" t="s">
        <v>238</v>
      </c>
    </row>
    <row r="86" spans="1:5" ht="35.1" customHeight="1" x14ac:dyDescent="0.4">
      <c r="A86" s="7" t="s">
        <v>30</v>
      </c>
    </row>
    <row r="87" spans="1:5" ht="35.1" customHeight="1" x14ac:dyDescent="0.4">
      <c r="A87" s="7" t="s">
        <v>239</v>
      </c>
    </row>
    <row r="88" spans="1:5" ht="35.1" customHeight="1" x14ac:dyDescent="0.4">
      <c r="A88" s="7" t="s">
        <v>240</v>
      </c>
    </row>
    <row r="89" spans="1:5" ht="35.1" customHeight="1" x14ac:dyDescent="0.4">
      <c r="A89" s="7" t="s">
        <v>241</v>
      </c>
    </row>
    <row r="90" spans="1:5" ht="35.1" customHeight="1" x14ac:dyDescent="0.4">
      <c r="A90" s="7" t="s">
        <v>242</v>
      </c>
    </row>
    <row r="91" spans="1:5" ht="35.1" customHeight="1" x14ac:dyDescent="0.4">
      <c r="A91" s="7" t="s">
        <v>243</v>
      </c>
    </row>
    <row r="93" spans="1:5" ht="35.1" customHeight="1" x14ac:dyDescent="0.4">
      <c r="A93" s="7" t="s">
        <v>244</v>
      </c>
      <c r="E93" s="7" t="str">
        <f>LOWER(A93)</f>
        <v>tybcom commerce</v>
      </c>
    </row>
    <row r="95" spans="1:5" ht="35.1" customHeight="1" x14ac:dyDescent="0.4">
      <c r="A95" s="41" t="s">
        <v>245</v>
      </c>
      <c r="B95" s="41"/>
    </row>
    <row r="96" spans="1:5" ht="35.1" customHeight="1" x14ac:dyDescent="0.4">
      <c r="A96" s="7" t="s">
        <v>246</v>
      </c>
    </row>
    <row r="97" spans="1:2" ht="35.1" customHeight="1" x14ac:dyDescent="0.4">
      <c r="A97" s="7" t="s">
        <v>247</v>
      </c>
    </row>
    <row r="98" spans="1:2" ht="35.1" customHeight="1" x14ac:dyDescent="0.4">
      <c r="A98" s="7" t="s">
        <v>248</v>
      </c>
    </row>
    <row r="99" spans="1:2" ht="35.1" customHeight="1" x14ac:dyDescent="0.4">
      <c r="A99" s="7" t="s">
        <v>249</v>
      </c>
    </row>
    <row r="101" spans="1:2" ht="35.1" customHeight="1" x14ac:dyDescent="0.4">
      <c r="A101" s="7" t="s">
        <v>250</v>
      </c>
    </row>
    <row r="102" spans="1:2" ht="35.1" customHeight="1" x14ac:dyDescent="0.4">
      <c r="A102" s="7" t="s">
        <v>251</v>
      </c>
    </row>
    <row r="103" spans="1:2" ht="35.1" customHeight="1" x14ac:dyDescent="0.4">
      <c r="A103" s="7" t="s">
        <v>252</v>
      </c>
    </row>
    <row r="105" spans="1:2" ht="35.1" customHeight="1" x14ac:dyDescent="0.4">
      <c r="A105" s="41" t="s">
        <v>253</v>
      </c>
      <c r="B105" s="41"/>
    </row>
    <row r="106" spans="1:2" ht="35.1" customHeight="1" x14ac:dyDescent="0.4">
      <c r="A106" s="7" t="s">
        <v>254</v>
      </c>
    </row>
    <row r="107" spans="1:2" ht="35.1" customHeight="1" x14ac:dyDescent="0.4">
      <c r="A107" s="7" t="s">
        <v>255</v>
      </c>
    </row>
    <row r="109" spans="1:2" ht="35.1" customHeight="1" x14ac:dyDescent="0.4">
      <c r="A109" s="7" t="s">
        <v>30</v>
      </c>
    </row>
    <row r="110" spans="1:2" ht="35.1" customHeight="1" x14ac:dyDescent="0.4">
      <c r="A110" s="7" t="s">
        <v>256</v>
      </c>
    </row>
    <row r="111" spans="1:2" ht="35.1" customHeight="1" x14ac:dyDescent="0.4">
      <c r="A111" s="7" t="s">
        <v>257</v>
      </c>
    </row>
    <row r="113" spans="1:2" ht="35.1" customHeight="1" x14ac:dyDescent="0.4">
      <c r="A113" s="41" t="s">
        <v>258</v>
      </c>
      <c r="B113" s="41"/>
    </row>
    <row r="114" spans="1:2" ht="35.1" customHeight="1" x14ac:dyDescent="0.4">
      <c r="A114" s="7" t="s">
        <v>261</v>
      </c>
    </row>
    <row r="115" spans="1:2" ht="35.1" customHeight="1" x14ac:dyDescent="0.4">
      <c r="A115" s="7" t="s">
        <v>259</v>
      </c>
    </row>
    <row r="116" spans="1:2" ht="35.1" customHeight="1" x14ac:dyDescent="0.4">
      <c r="A116" s="7" t="s">
        <v>260</v>
      </c>
    </row>
    <row r="117" spans="1:2" ht="35.1" customHeight="1" x14ac:dyDescent="0.4">
      <c r="A117" s="7" t="s">
        <v>262</v>
      </c>
    </row>
    <row r="118" spans="1:2" ht="35.1" customHeight="1" x14ac:dyDescent="0.4">
      <c r="A118" s="7" t="s">
        <v>263</v>
      </c>
    </row>
    <row r="119" spans="1:2" ht="35.1" customHeight="1" x14ac:dyDescent="0.4">
      <c r="A119" s="7" t="s">
        <v>264</v>
      </c>
    </row>
    <row r="120" spans="1:2" ht="35.1" customHeight="1" x14ac:dyDescent="0.4">
      <c r="A120" s="7" t="s">
        <v>265</v>
      </c>
    </row>
    <row r="122" spans="1:2" ht="35.1" customHeight="1" x14ac:dyDescent="0.4">
      <c r="A122" s="7" t="s">
        <v>30</v>
      </c>
    </row>
    <row r="123" spans="1:2" ht="35.1" customHeight="1" x14ac:dyDescent="0.4">
      <c r="A123" s="7" t="s">
        <v>268</v>
      </c>
    </row>
    <row r="124" spans="1:2" ht="35.1" customHeight="1" x14ac:dyDescent="0.4">
      <c r="A124" s="7" t="s">
        <v>266</v>
      </c>
    </row>
    <row r="125" spans="1:2" ht="35.1" customHeight="1" x14ac:dyDescent="0.4">
      <c r="A125" s="7" t="s">
        <v>267</v>
      </c>
    </row>
  </sheetData>
  <mergeCells count="39">
    <mergeCell ref="A105:B105"/>
    <mergeCell ref="A113:B113"/>
    <mergeCell ref="G56:H56"/>
    <mergeCell ref="G57:H57"/>
    <mergeCell ref="A58:B58"/>
    <mergeCell ref="A69:B69"/>
    <mergeCell ref="A82:B82"/>
    <mergeCell ref="A95:B95"/>
    <mergeCell ref="D56:F56"/>
    <mergeCell ref="D57:F57"/>
    <mergeCell ref="A57:C57"/>
    <mergeCell ref="G49:H49"/>
    <mergeCell ref="G50:H50"/>
    <mergeCell ref="G51:H51"/>
    <mergeCell ref="G52:H52"/>
    <mergeCell ref="G53:H53"/>
    <mergeCell ref="G54:H54"/>
    <mergeCell ref="G55:H55"/>
    <mergeCell ref="A54:C54"/>
    <mergeCell ref="A55:C55"/>
    <mergeCell ref="A56:C56"/>
    <mergeCell ref="D54:F54"/>
    <mergeCell ref="D55:F55"/>
    <mergeCell ref="D49:F49"/>
    <mergeCell ref="D50:F50"/>
    <mergeCell ref="D51:F51"/>
    <mergeCell ref="D52:F52"/>
    <mergeCell ref="D53:F53"/>
    <mergeCell ref="A49:C49"/>
    <mergeCell ref="A50:C50"/>
    <mergeCell ref="A51:C51"/>
    <mergeCell ref="A52:C52"/>
    <mergeCell ref="A53:C53"/>
    <mergeCell ref="A1:D1"/>
    <mergeCell ref="A23:C23"/>
    <mergeCell ref="A7:B7"/>
    <mergeCell ref="A39:C39"/>
    <mergeCell ref="A48:C48"/>
    <mergeCell ref="D48:F48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N77"/>
  <sheetViews>
    <sheetView topLeftCell="A42" workbookViewId="0">
      <selection activeCell="I44" sqref="I44"/>
    </sheetView>
  </sheetViews>
  <sheetFormatPr defaultRowHeight="35.1" customHeight="1" x14ac:dyDescent="0.45"/>
  <cols>
    <col min="1" max="3" width="9.140625" style="10"/>
    <col min="4" max="4" width="35.140625" style="10" customWidth="1"/>
    <col min="5" max="16384" width="9.140625" style="10"/>
  </cols>
  <sheetData>
    <row r="2" spans="1:6" ht="35.1" customHeight="1" x14ac:dyDescent="0.45">
      <c r="A2" s="37" t="s">
        <v>298</v>
      </c>
      <c r="B2" s="37"/>
      <c r="C2" s="37"/>
      <c r="D2" s="37"/>
      <c r="E2" s="37"/>
    </row>
    <row r="4" spans="1:6" ht="35.1" customHeight="1" x14ac:dyDescent="0.45">
      <c r="A4" s="37" t="s">
        <v>299</v>
      </c>
      <c r="B4" s="37"/>
      <c r="C4" s="37"/>
    </row>
    <row r="6" spans="1:6" ht="35.1" customHeight="1" x14ac:dyDescent="0.45">
      <c r="A6" s="10" t="s">
        <v>300</v>
      </c>
    </row>
    <row r="7" spans="1:6" ht="35.1" customHeight="1" x14ac:dyDescent="0.45">
      <c r="A7" s="10" t="s">
        <v>301</v>
      </c>
    </row>
    <row r="8" spans="1:6" ht="35.1" customHeight="1" x14ac:dyDescent="0.45">
      <c r="A8" s="44" t="s">
        <v>30</v>
      </c>
      <c r="B8" s="44"/>
      <c r="D8" s="11">
        <f ca="1">TODAY()</f>
        <v>45675</v>
      </c>
      <c r="F8" s="10" t="s">
        <v>494</v>
      </c>
    </row>
    <row r="10" spans="1:6" ht="35.1" customHeight="1" x14ac:dyDescent="0.45">
      <c r="A10" s="44" t="s">
        <v>30</v>
      </c>
      <c r="B10" s="44"/>
      <c r="D10" s="11">
        <f ca="1">TODAY()+1</f>
        <v>45676</v>
      </c>
      <c r="F10" s="10" t="s">
        <v>495</v>
      </c>
    </row>
    <row r="12" spans="1:6" ht="35.1" customHeight="1" x14ac:dyDescent="0.45">
      <c r="A12" s="44" t="s">
        <v>30</v>
      </c>
      <c r="B12" s="44"/>
      <c r="D12" s="11">
        <f ca="1">TODAY()-7</f>
        <v>45668</v>
      </c>
      <c r="F12" s="10" t="s">
        <v>496</v>
      </c>
    </row>
    <row r="14" spans="1:6" ht="35.1" customHeight="1" x14ac:dyDescent="0.45">
      <c r="A14" s="37" t="s">
        <v>302</v>
      </c>
      <c r="B14" s="37"/>
      <c r="C14" s="37"/>
    </row>
    <row r="15" spans="1:6" ht="35.1" customHeight="1" x14ac:dyDescent="0.45">
      <c r="A15" s="10" t="s">
        <v>303</v>
      </c>
    </row>
    <row r="16" spans="1:6" ht="35.1" customHeight="1" x14ac:dyDescent="0.45">
      <c r="A16" s="10" t="s">
        <v>304</v>
      </c>
    </row>
    <row r="17" spans="1:6" ht="35.1" customHeight="1" x14ac:dyDescent="0.45">
      <c r="A17" s="44" t="s">
        <v>30</v>
      </c>
      <c r="B17" s="44"/>
      <c r="D17" s="12">
        <f ca="1">NOW()</f>
        <v>45675.787992245372</v>
      </c>
      <c r="F17" s="10" t="s">
        <v>497</v>
      </c>
    </row>
    <row r="19" spans="1:6" ht="35.1" customHeight="1" x14ac:dyDescent="0.45">
      <c r="A19" s="37" t="s">
        <v>305</v>
      </c>
      <c r="B19" s="37"/>
      <c r="C19" s="37"/>
    </row>
    <row r="20" spans="1:6" ht="35.1" customHeight="1" x14ac:dyDescent="0.45">
      <c r="A20" s="10" t="s">
        <v>306</v>
      </c>
    </row>
    <row r="21" spans="1:6" ht="35.1" customHeight="1" x14ac:dyDescent="0.45">
      <c r="A21" s="10" t="s">
        <v>307</v>
      </c>
    </row>
    <row r="22" spans="1:6" ht="35.1" customHeight="1" x14ac:dyDescent="0.45">
      <c r="A22" s="44" t="s">
        <v>30</v>
      </c>
      <c r="B22" s="44"/>
      <c r="D22" s="11">
        <f>DATE(2013,12,21)</f>
        <v>41629</v>
      </c>
      <c r="F22" s="10" t="s">
        <v>308</v>
      </c>
    </row>
    <row r="24" spans="1:6" ht="35.1" customHeight="1" x14ac:dyDescent="0.45">
      <c r="A24" s="44" t="s">
        <v>30</v>
      </c>
      <c r="B24" s="44"/>
      <c r="D24" s="11">
        <f>DATE(2013,23,25)</f>
        <v>41968</v>
      </c>
      <c r="F24" s="10" t="s">
        <v>309</v>
      </c>
    </row>
    <row r="25" spans="1:6" ht="35.1" customHeight="1" x14ac:dyDescent="0.45">
      <c r="F25" s="10" t="s">
        <v>310</v>
      </c>
    </row>
    <row r="26" spans="1:6" ht="35.1" customHeight="1" x14ac:dyDescent="0.45">
      <c r="F26" s="10" t="s">
        <v>311</v>
      </c>
    </row>
    <row r="28" spans="1:6" ht="35.1" customHeight="1" x14ac:dyDescent="0.45">
      <c r="A28" s="37" t="s">
        <v>312</v>
      </c>
      <c r="B28" s="37"/>
      <c r="C28" s="37"/>
    </row>
    <row r="29" spans="1:6" ht="35.1" customHeight="1" x14ac:dyDescent="0.45">
      <c r="A29" s="10" t="s">
        <v>313</v>
      </c>
    </row>
    <row r="30" spans="1:6" ht="35.1" customHeight="1" x14ac:dyDescent="0.45">
      <c r="A30" s="10" t="s">
        <v>314</v>
      </c>
    </row>
    <row r="31" spans="1:6" ht="35.1" customHeight="1" x14ac:dyDescent="0.45">
      <c r="A31" s="44" t="s">
        <v>30</v>
      </c>
      <c r="B31" s="44"/>
      <c r="D31" s="13">
        <f>TIME(15,12,35)</f>
        <v>0.63373842592592589</v>
      </c>
      <c r="F31" s="10" t="s">
        <v>315</v>
      </c>
    </row>
    <row r="33" spans="1:6" ht="35.1" customHeight="1" x14ac:dyDescent="0.45">
      <c r="A33" s="44" t="s">
        <v>30</v>
      </c>
      <c r="B33" s="44"/>
      <c r="D33" s="13">
        <f>TIME(25,0,0)</f>
        <v>4.1666666666666741E-2</v>
      </c>
      <c r="F33" s="10" t="s">
        <v>316</v>
      </c>
    </row>
    <row r="34" spans="1:6" ht="35.1" customHeight="1" x14ac:dyDescent="0.45">
      <c r="E34" s="10" t="s">
        <v>317</v>
      </c>
    </row>
    <row r="35" spans="1:6" ht="35.1" customHeight="1" x14ac:dyDescent="0.45">
      <c r="E35" s="10" t="s">
        <v>318</v>
      </c>
    </row>
    <row r="37" spans="1:6" ht="35.1" customHeight="1" x14ac:dyDescent="0.45">
      <c r="A37" s="37" t="s">
        <v>319</v>
      </c>
      <c r="B37" s="37"/>
      <c r="C37" s="37"/>
    </row>
    <row r="38" spans="1:6" ht="35.1" customHeight="1" x14ac:dyDescent="0.45">
      <c r="A38" s="10" t="s">
        <v>320</v>
      </c>
    </row>
    <row r="39" spans="1:6" ht="35.1" customHeight="1" x14ac:dyDescent="0.45">
      <c r="A39" s="10" t="s">
        <v>321</v>
      </c>
    </row>
    <row r="40" spans="1:6" ht="35.1" customHeight="1" x14ac:dyDescent="0.45">
      <c r="A40" s="44" t="s">
        <v>30</v>
      </c>
      <c r="B40" s="44"/>
      <c r="D40" s="10">
        <f>DAY("3/1/2013")</f>
        <v>3</v>
      </c>
      <c r="F40" s="10" t="s">
        <v>322</v>
      </c>
    </row>
    <row r="41" spans="1:6" ht="35.1" customHeight="1" x14ac:dyDescent="0.45">
      <c r="D41" s="10">
        <f ca="1">DAY(NOW())</f>
        <v>18</v>
      </c>
      <c r="F41" s="10" t="s">
        <v>498</v>
      </c>
    </row>
    <row r="42" spans="1:6" ht="35.1" customHeight="1" x14ac:dyDescent="0.45">
      <c r="D42" s="10">
        <f ca="1">DAY(TODAY())</f>
        <v>18</v>
      </c>
      <c r="F42" s="10" t="s">
        <v>499</v>
      </c>
    </row>
    <row r="44" spans="1:6" ht="35.1" customHeight="1" x14ac:dyDescent="0.45">
      <c r="A44" s="37" t="s">
        <v>323</v>
      </c>
      <c r="B44" s="37"/>
      <c r="C44" s="37"/>
    </row>
    <row r="45" spans="1:6" ht="35.1" customHeight="1" x14ac:dyDescent="0.45">
      <c r="A45" s="10" t="s">
        <v>324</v>
      </c>
    </row>
    <row r="46" spans="1:6" ht="35.1" customHeight="1" x14ac:dyDescent="0.45">
      <c r="A46" s="10" t="s">
        <v>325</v>
      </c>
    </row>
    <row r="48" spans="1:6" ht="35.1" customHeight="1" x14ac:dyDescent="0.45">
      <c r="A48" s="44" t="s">
        <v>30</v>
      </c>
      <c r="B48" s="44"/>
      <c r="D48" s="10">
        <f>WEEKDAY("1/12/2018",1)</f>
        <v>7</v>
      </c>
      <c r="F48" s="10" t="s">
        <v>326</v>
      </c>
    </row>
    <row r="49" spans="1:6" ht="35.1" customHeight="1" x14ac:dyDescent="0.45">
      <c r="D49" s="10">
        <f>WEEKDAY("1/12/2018")</f>
        <v>7</v>
      </c>
      <c r="F49" s="10" t="s">
        <v>326</v>
      </c>
    </row>
    <row r="51" spans="1:6" ht="35.1" customHeight="1" x14ac:dyDescent="0.45">
      <c r="A51" s="37" t="s">
        <v>327</v>
      </c>
      <c r="B51" s="37"/>
      <c r="C51" s="37"/>
    </row>
    <row r="52" spans="1:6" ht="35.1" customHeight="1" x14ac:dyDescent="0.45">
      <c r="A52" s="10" t="s">
        <v>328</v>
      </c>
    </row>
    <row r="53" spans="1:6" ht="35.1" customHeight="1" x14ac:dyDescent="0.45">
      <c r="A53" s="10" t="s">
        <v>329</v>
      </c>
    </row>
    <row r="54" spans="1:6" ht="35.1" customHeight="1" x14ac:dyDescent="0.45">
      <c r="A54" s="44" t="s">
        <v>30</v>
      </c>
      <c r="B54" s="44"/>
      <c r="D54" s="10">
        <f>DAYS360("01/01/2024","01/01/2026")</f>
        <v>720</v>
      </c>
    </row>
    <row r="56" spans="1:6" ht="35.1" customHeight="1" x14ac:dyDescent="0.45">
      <c r="A56" s="37" t="s">
        <v>330</v>
      </c>
      <c r="B56" s="37"/>
      <c r="C56" s="37"/>
    </row>
    <row r="57" spans="1:6" ht="35.1" customHeight="1" x14ac:dyDescent="0.45">
      <c r="A57" s="10" t="s">
        <v>331</v>
      </c>
    </row>
    <row r="58" spans="1:6" ht="35.1" customHeight="1" x14ac:dyDescent="0.45">
      <c r="A58" s="10" t="s">
        <v>332</v>
      </c>
    </row>
    <row r="59" spans="1:6" ht="35.1" customHeight="1" x14ac:dyDescent="0.45">
      <c r="A59" s="44" t="s">
        <v>30</v>
      </c>
      <c r="B59" s="44"/>
      <c r="D59" s="10">
        <f>MONTH("3/4/2013")</f>
        <v>4</v>
      </c>
      <c r="F59" s="10" t="s">
        <v>333</v>
      </c>
    </row>
    <row r="60" spans="1:6" ht="35.1" customHeight="1" x14ac:dyDescent="0.45">
      <c r="D60" s="10">
        <f ca="1">MONTH(NOW())</f>
        <v>1</v>
      </c>
      <c r="F60" s="10" t="s">
        <v>500</v>
      </c>
    </row>
    <row r="61" spans="1:6" ht="35.1" customHeight="1" x14ac:dyDescent="0.45">
      <c r="D61" s="10">
        <f>MONTH("08-july-2018")</f>
        <v>7</v>
      </c>
      <c r="F61" s="10" t="s">
        <v>334</v>
      </c>
    </row>
    <row r="62" spans="1:6" ht="35.1" customHeight="1" x14ac:dyDescent="0.45">
      <c r="A62" s="37" t="s">
        <v>335</v>
      </c>
      <c r="B62" s="37"/>
      <c r="C62" s="37"/>
    </row>
    <row r="63" spans="1:6" ht="35.1" customHeight="1" x14ac:dyDescent="0.45">
      <c r="A63" s="10" t="s">
        <v>336</v>
      </c>
    </row>
    <row r="64" spans="1:6" ht="35.1" customHeight="1" x14ac:dyDescent="0.45">
      <c r="A64" s="10" t="s">
        <v>337</v>
      </c>
    </row>
    <row r="65" spans="1:14" ht="35.1" customHeight="1" x14ac:dyDescent="0.45">
      <c r="A65" s="44" t="s">
        <v>30</v>
      </c>
      <c r="B65" s="44"/>
      <c r="D65" s="10" t="e">
        <f>YEAR("12/13/2013")</f>
        <v>#VALUE!</v>
      </c>
      <c r="F65" s="10" t="s">
        <v>338</v>
      </c>
    </row>
    <row r="66" spans="1:14" ht="35.1" customHeight="1" x14ac:dyDescent="0.45">
      <c r="D66" s="10">
        <f ca="1">YEAR(TODAY())</f>
        <v>2025</v>
      </c>
      <c r="F66" s="10" t="s">
        <v>339</v>
      </c>
    </row>
    <row r="67" spans="1:14" ht="35.1" customHeight="1" x14ac:dyDescent="0.45">
      <c r="D67" s="10">
        <f ca="1">YEAR(NOW())</f>
        <v>2025</v>
      </c>
      <c r="F67" s="10" t="s">
        <v>340</v>
      </c>
    </row>
    <row r="70" spans="1:14" ht="35.1" customHeight="1" x14ac:dyDescent="0.45">
      <c r="F70" s="10">
        <v>25</v>
      </c>
      <c r="H70" s="10">
        <v>21</v>
      </c>
      <c r="J70" s="10">
        <v>10</v>
      </c>
      <c r="K70" s="10">
        <v>12</v>
      </c>
      <c r="L70" s="10">
        <v>11</v>
      </c>
      <c r="N70" s="10">
        <f>COUNTA(F70:M70)</f>
        <v>5</v>
      </c>
    </row>
    <row r="71" spans="1:14" ht="35.1" customHeight="1" x14ac:dyDescent="0.45">
      <c r="N71" s="10">
        <f>COUNTBLANK(F70:L70)</f>
        <v>2</v>
      </c>
    </row>
    <row r="73" spans="1:14" ht="35.1" customHeight="1" x14ac:dyDescent="0.45">
      <c r="F73" s="10">
        <v>3</v>
      </c>
      <c r="G73" s="10">
        <v>9</v>
      </c>
    </row>
    <row r="74" spans="1:14" ht="35.1" customHeight="1" x14ac:dyDescent="0.45">
      <c r="F74" s="10">
        <v>2</v>
      </c>
      <c r="G74" s="10">
        <v>8</v>
      </c>
    </row>
    <row r="75" spans="1:14" ht="35.1" customHeight="1" x14ac:dyDescent="0.45">
      <c r="F75" s="10">
        <v>4</v>
      </c>
      <c r="G75" s="10">
        <v>5</v>
      </c>
    </row>
    <row r="76" spans="1:14" ht="35.1" customHeight="1" x14ac:dyDescent="0.45">
      <c r="F76" s="10">
        <v>5</v>
      </c>
      <c r="G76" s="10">
        <v>4</v>
      </c>
    </row>
    <row r="77" spans="1:14" ht="35.1" customHeight="1" x14ac:dyDescent="0.45">
      <c r="G77" s="10">
        <f>CORREL(F73:F76,G73:G76)</f>
        <v>-0.86772183127462466</v>
      </c>
    </row>
  </sheetData>
  <mergeCells count="23">
    <mergeCell ref="A54:B54"/>
    <mergeCell ref="A56:C56"/>
    <mergeCell ref="A59:B59"/>
    <mergeCell ref="A62:C62"/>
    <mergeCell ref="A65:B65"/>
    <mergeCell ref="A51:C51"/>
    <mergeCell ref="A17:B17"/>
    <mergeCell ref="A19:C19"/>
    <mergeCell ref="A22:B22"/>
    <mergeCell ref="A24:B24"/>
    <mergeCell ref="A28:C28"/>
    <mergeCell ref="A31:B31"/>
    <mergeCell ref="A33:B33"/>
    <mergeCell ref="A37:C37"/>
    <mergeCell ref="A40:B40"/>
    <mergeCell ref="A44:C44"/>
    <mergeCell ref="A48:B48"/>
    <mergeCell ref="A14:C14"/>
    <mergeCell ref="A2:E2"/>
    <mergeCell ref="A4:C4"/>
    <mergeCell ref="A8:B8"/>
    <mergeCell ref="A10:B10"/>
    <mergeCell ref="A12:B12"/>
  </mergeCells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59"/>
  <sheetViews>
    <sheetView topLeftCell="A10" workbookViewId="0">
      <selection activeCell="A45" sqref="A45"/>
    </sheetView>
  </sheetViews>
  <sheetFormatPr defaultRowHeight="35.1" customHeight="1" x14ac:dyDescent="0.45"/>
  <cols>
    <col min="1" max="1" width="23.85546875" style="10" customWidth="1"/>
    <col min="2" max="2" width="22" style="10" customWidth="1"/>
    <col min="3" max="3" width="13.28515625" style="10" customWidth="1"/>
    <col min="4" max="4" width="16.7109375" style="10" customWidth="1"/>
    <col min="5" max="5" width="19.140625" style="10" customWidth="1"/>
    <col min="6" max="6" width="12.42578125" style="10" customWidth="1"/>
    <col min="7" max="16384" width="9.140625" style="10"/>
  </cols>
  <sheetData>
    <row r="1" spans="1:1" ht="35.1" customHeight="1" x14ac:dyDescent="0.45">
      <c r="A1" s="10" t="s">
        <v>341</v>
      </c>
    </row>
    <row r="2" spans="1:1" ht="35.1" customHeight="1" x14ac:dyDescent="0.45">
      <c r="A2" s="22" t="s">
        <v>353</v>
      </c>
    </row>
    <row r="3" spans="1:1" ht="35.1" customHeight="1" x14ac:dyDescent="0.45">
      <c r="A3" s="10" t="s">
        <v>344</v>
      </c>
    </row>
    <row r="4" spans="1:1" ht="35.1" customHeight="1" x14ac:dyDescent="0.45">
      <c r="A4" s="10" t="s">
        <v>342</v>
      </c>
    </row>
    <row r="5" spans="1:1" ht="35.1" customHeight="1" x14ac:dyDescent="0.45">
      <c r="A5" s="10" t="s">
        <v>343</v>
      </c>
    </row>
    <row r="6" spans="1:1" ht="35.1" customHeight="1" x14ac:dyDescent="0.45">
      <c r="A6" s="10" t="s">
        <v>345</v>
      </c>
    </row>
    <row r="8" spans="1:1" ht="35.1" customHeight="1" x14ac:dyDescent="0.45">
      <c r="A8" s="10" t="s">
        <v>348</v>
      </c>
    </row>
    <row r="9" spans="1:1" ht="35.1" customHeight="1" x14ac:dyDescent="0.45">
      <c r="A9" s="10" t="s">
        <v>349</v>
      </c>
    </row>
    <row r="10" spans="1:1" ht="35.1" customHeight="1" x14ac:dyDescent="0.45">
      <c r="A10" s="10" t="s">
        <v>350</v>
      </c>
    </row>
    <row r="12" spans="1:1" ht="35.1" customHeight="1" x14ac:dyDescent="0.45">
      <c r="A12" s="10" t="s">
        <v>347</v>
      </c>
    </row>
    <row r="13" spans="1:1" ht="35.1" customHeight="1" x14ac:dyDescent="0.45">
      <c r="A13" s="10" t="s">
        <v>346</v>
      </c>
    </row>
    <row r="15" spans="1:1" ht="35.1" customHeight="1" x14ac:dyDescent="0.45">
      <c r="A15" s="10" t="s">
        <v>351</v>
      </c>
    </row>
    <row r="16" spans="1:1" ht="35.1" customHeight="1" x14ac:dyDescent="0.45">
      <c r="A16" s="10" t="s">
        <v>352</v>
      </c>
    </row>
    <row r="18" spans="1:1" ht="35.1" customHeight="1" x14ac:dyDescent="0.45">
      <c r="A18" s="22" t="s">
        <v>354</v>
      </c>
    </row>
    <row r="19" spans="1:1" ht="35.1" customHeight="1" x14ac:dyDescent="0.45">
      <c r="A19" s="10" t="s">
        <v>355</v>
      </c>
    </row>
    <row r="20" spans="1:1" ht="35.1" customHeight="1" x14ac:dyDescent="0.45">
      <c r="A20" s="10" t="s">
        <v>356</v>
      </c>
    </row>
    <row r="21" spans="1:1" ht="35.1" customHeight="1" x14ac:dyDescent="0.45">
      <c r="A21" s="10" t="s">
        <v>357</v>
      </c>
    </row>
    <row r="23" spans="1:1" ht="35.1" customHeight="1" x14ac:dyDescent="0.45">
      <c r="A23" s="10" t="s">
        <v>358</v>
      </c>
    </row>
    <row r="25" spans="1:1" ht="35.1" customHeight="1" x14ac:dyDescent="0.45">
      <c r="A25" s="10" t="s">
        <v>359</v>
      </c>
    </row>
    <row r="26" spans="1:1" ht="35.1" customHeight="1" x14ac:dyDescent="0.45">
      <c r="A26" s="10" t="s">
        <v>360</v>
      </c>
    </row>
    <row r="28" spans="1:1" ht="35.1" customHeight="1" x14ac:dyDescent="0.45">
      <c r="A28" s="10" t="s">
        <v>361</v>
      </c>
    </row>
    <row r="29" spans="1:1" ht="35.1" customHeight="1" x14ac:dyDescent="0.45">
      <c r="A29" s="10" t="s">
        <v>362</v>
      </c>
    </row>
    <row r="30" spans="1:1" ht="35.1" customHeight="1" x14ac:dyDescent="0.45">
      <c r="A30" s="10" t="s">
        <v>363</v>
      </c>
    </row>
    <row r="32" spans="1:1" ht="35.1" customHeight="1" x14ac:dyDescent="0.45">
      <c r="A32" s="10" t="s">
        <v>364</v>
      </c>
    </row>
    <row r="33" spans="1:1" ht="35.1" customHeight="1" x14ac:dyDescent="0.45">
      <c r="A33" s="10" t="s">
        <v>365</v>
      </c>
    </row>
    <row r="35" spans="1:1" ht="35.1" customHeight="1" x14ac:dyDescent="0.45">
      <c r="A35" s="10" t="s">
        <v>366</v>
      </c>
    </row>
    <row r="36" spans="1:1" ht="35.1" customHeight="1" x14ac:dyDescent="0.45">
      <c r="A36" s="10" t="s">
        <v>367</v>
      </c>
    </row>
    <row r="37" spans="1:1" ht="35.1" customHeight="1" x14ac:dyDescent="0.45">
      <c r="A37" s="10" t="s">
        <v>368</v>
      </c>
    </row>
    <row r="40" spans="1:1" ht="35.1" customHeight="1" x14ac:dyDescent="0.45">
      <c r="A40" s="10" t="s">
        <v>369</v>
      </c>
    </row>
    <row r="41" spans="1:1" ht="35.1" customHeight="1" x14ac:dyDescent="0.45">
      <c r="A41" s="10" t="s">
        <v>370</v>
      </c>
    </row>
    <row r="42" spans="1:1" ht="35.1" customHeight="1" x14ac:dyDescent="0.45">
      <c r="A42" s="10" t="s">
        <v>371</v>
      </c>
    </row>
    <row r="43" spans="1:1" ht="35.1" customHeight="1" x14ac:dyDescent="0.45">
      <c r="A43" s="10" t="s">
        <v>372</v>
      </c>
    </row>
    <row r="44" spans="1:1" ht="35.1" customHeight="1" x14ac:dyDescent="0.45">
      <c r="A44" s="10" t="s">
        <v>373</v>
      </c>
    </row>
    <row r="45" spans="1:1" ht="35.1" customHeight="1" x14ac:dyDescent="0.45">
      <c r="A45" s="10" t="s">
        <v>374</v>
      </c>
    </row>
    <row r="47" spans="1:1" ht="35.1" customHeight="1" x14ac:dyDescent="0.45">
      <c r="A47" s="10" t="s">
        <v>375</v>
      </c>
    </row>
    <row r="48" spans="1:1" ht="35.1" customHeight="1" x14ac:dyDescent="0.45">
      <c r="A48" s="10" t="s">
        <v>360</v>
      </c>
    </row>
    <row r="50" spans="1:1" ht="35.1" customHeight="1" x14ac:dyDescent="0.45">
      <c r="A50" s="10" t="s">
        <v>376</v>
      </c>
    </row>
    <row r="51" spans="1:1" ht="35.1" customHeight="1" x14ac:dyDescent="0.45">
      <c r="A51" s="10" t="s">
        <v>362</v>
      </c>
    </row>
    <row r="52" spans="1:1" ht="35.1" customHeight="1" x14ac:dyDescent="0.45">
      <c r="A52" s="10" t="s">
        <v>363</v>
      </c>
    </row>
    <row r="54" spans="1:1" ht="35.1" customHeight="1" x14ac:dyDescent="0.45">
      <c r="A54" s="10" t="s">
        <v>377</v>
      </c>
    </row>
    <row r="55" spans="1:1" ht="35.1" customHeight="1" x14ac:dyDescent="0.45">
      <c r="A55" s="10" t="s">
        <v>365</v>
      </c>
    </row>
    <row r="57" spans="1:1" ht="35.1" customHeight="1" x14ac:dyDescent="0.45">
      <c r="A57" s="10" t="s">
        <v>378</v>
      </c>
    </row>
    <row r="58" spans="1:1" ht="35.1" customHeight="1" x14ac:dyDescent="0.45">
      <c r="A58" s="10" t="s">
        <v>367</v>
      </c>
    </row>
    <row r="59" spans="1:1" ht="35.1" customHeight="1" x14ac:dyDescent="0.45">
      <c r="A59" s="10" t="s">
        <v>368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9"/>
  <sheetViews>
    <sheetView workbookViewId="0">
      <selection activeCell="D1" sqref="D1"/>
    </sheetView>
  </sheetViews>
  <sheetFormatPr defaultRowHeight="15" x14ac:dyDescent="0.25"/>
  <cols>
    <col min="2" max="2" width="22.28515625" customWidth="1"/>
    <col min="3" max="3" width="16.28515625" customWidth="1"/>
    <col min="4" max="4" width="33.28515625" customWidth="1"/>
    <col min="5" max="5" width="12.140625" customWidth="1"/>
    <col min="6" max="6" width="13.42578125" bestFit="1" customWidth="1"/>
    <col min="8" max="8" width="10.7109375" bestFit="1" customWidth="1"/>
  </cols>
  <sheetData>
    <row r="1" spans="1:10" s="10" customFormat="1" ht="63" customHeight="1" x14ac:dyDescent="0.45">
      <c r="A1" s="18" t="s">
        <v>526</v>
      </c>
      <c r="B1" s="10" t="s">
        <v>527</v>
      </c>
      <c r="C1" s="10" t="s">
        <v>427</v>
      </c>
      <c r="D1" s="18" t="s">
        <v>528</v>
      </c>
      <c r="E1" s="10" t="s">
        <v>529</v>
      </c>
      <c r="F1" s="7" t="s">
        <v>530</v>
      </c>
      <c r="H1" s="10" t="s">
        <v>527</v>
      </c>
      <c r="I1" s="10" t="s">
        <v>427</v>
      </c>
    </row>
    <row r="2" spans="1:10" s="10" customFormat="1" ht="35.1" customHeight="1" x14ac:dyDescent="0.45">
      <c r="A2" s="10">
        <v>101</v>
      </c>
      <c r="B2" s="10">
        <v>50</v>
      </c>
      <c r="E2" s="10">
        <v>65</v>
      </c>
      <c r="F2" s="7"/>
      <c r="H2" s="10">
        <v>0</v>
      </c>
      <c r="I2" s="10">
        <v>2.6</v>
      </c>
    </row>
    <row r="3" spans="1:10" s="10" customFormat="1" ht="35.1" customHeight="1" x14ac:dyDescent="0.45">
      <c r="A3" s="10">
        <v>102</v>
      </c>
      <c r="B3" s="10">
        <v>120</v>
      </c>
      <c r="E3" s="10">
        <v>90</v>
      </c>
      <c r="F3" s="7"/>
      <c r="H3" s="1">
        <v>100</v>
      </c>
      <c r="I3" s="1">
        <v>5.62</v>
      </c>
      <c r="J3" s="1"/>
    </row>
    <row r="4" spans="1:10" s="10" customFormat="1" ht="35.1" customHeight="1" x14ac:dyDescent="0.45">
      <c r="A4" s="10">
        <v>201</v>
      </c>
      <c r="B4" s="10">
        <v>600</v>
      </c>
      <c r="E4" s="10">
        <v>300</v>
      </c>
      <c r="F4" s="7"/>
      <c r="H4" s="10">
        <v>300</v>
      </c>
      <c r="I4" s="10">
        <v>7.2</v>
      </c>
    </row>
    <row r="5" spans="1:10" s="10" customFormat="1" ht="35.1" customHeight="1" x14ac:dyDescent="0.45">
      <c r="A5" s="10">
        <v>202</v>
      </c>
      <c r="B5" s="10">
        <v>340</v>
      </c>
      <c r="E5" s="10">
        <v>150</v>
      </c>
      <c r="F5" s="7"/>
      <c r="H5" s="10">
        <v>500</v>
      </c>
      <c r="I5" s="20">
        <v>8.9499999999999993</v>
      </c>
    </row>
    <row r="6" spans="1:10" s="10" customFormat="1" ht="35.1" customHeight="1" x14ac:dyDescent="0.45">
      <c r="A6" s="10">
        <v>301</v>
      </c>
      <c r="B6" s="10">
        <v>245</v>
      </c>
      <c r="E6" s="10">
        <v>90</v>
      </c>
      <c r="F6" s="7"/>
    </row>
    <row r="7" spans="1:10" s="10" customFormat="1" ht="35.1" customHeight="1" x14ac:dyDescent="0.45">
      <c r="A7" s="10">
        <v>302</v>
      </c>
      <c r="B7" s="10">
        <v>700</v>
      </c>
      <c r="E7" s="10">
        <v>300</v>
      </c>
      <c r="F7" s="7"/>
    </row>
    <row r="8" spans="1:10" s="10" customFormat="1" ht="35.1" customHeight="1" x14ac:dyDescent="0.45">
      <c r="A8" s="10">
        <v>401</v>
      </c>
      <c r="B8" s="10">
        <v>45</v>
      </c>
      <c r="E8" s="10">
        <v>65</v>
      </c>
      <c r="F8" s="7"/>
    </row>
    <row r="9" spans="1:10" s="10" customFormat="1" ht="35.1" customHeight="1" x14ac:dyDescent="0.45"/>
    <row r="10" spans="1:10" s="10" customFormat="1" ht="35.1" customHeight="1" x14ac:dyDescent="0.45">
      <c r="A10" s="10" t="s">
        <v>531</v>
      </c>
      <c r="E10" s="10" t="s">
        <v>532</v>
      </c>
    </row>
    <row r="11" spans="1:10" s="10" customFormat="1" ht="35.1" customHeight="1" x14ac:dyDescent="0.45">
      <c r="A11" s="10" t="s">
        <v>533</v>
      </c>
      <c r="E11" s="10" t="s">
        <v>534</v>
      </c>
    </row>
    <row r="12" spans="1:10" s="10" customFormat="1" ht="35.1" customHeight="1" x14ac:dyDescent="0.45">
      <c r="A12" s="10" t="s">
        <v>535</v>
      </c>
      <c r="E12" s="10">
        <f>D2+E2</f>
        <v>65</v>
      </c>
    </row>
    <row r="13" spans="1:10" s="10" customFormat="1" ht="35.1" customHeight="1" x14ac:dyDescent="0.45"/>
    <row r="14" spans="1:10" s="10" customFormat="1" ht="35.1" customHeight="1" x14ac:dyDescent="0.45"/>
    <row r="15" spans="1:10" s="10" customFormat="1" ht="35.1" customHeight="1" x14ac:dyDescent="0.45">
      <c r="A15" s="10" t="s">
        <v>536</v>
      </c>
    </row>
    <row r="16" spans="1:10" s="10" customFormat="1" ht="35.1" customHeight="1" x14ac:dyDescent="0.45">
      <c r="A16" s="10" t="s">
        <v>537</v>
      </c>
    </row>
    <row r="17" spans="1:1" s="10" customFormat="1" ht="35.1" customHeight="1" x14ac:dyDescent="0.45">
      <c r="A17" s="10" t="s">
        <v>538</v>
      </c>
    </row>
    <row r="18" spans="1:1" s="10" customFormat="1" ht="35.1" customHeight="1" x14ac:dyDescent="0.45">
      <c r="A18" s="10" t="s">
        <v>539</v>
      </c>
    </row>
    <row r="19" spans="1:1" s="10" customFormat="1" ht="35.1" customHeight="1" x14ac:dyDescent="0.45">
      <c r="A19" s="10" t="s">
        <v>540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2"/>
  <sheetViews>
    <sheetView workbookViewId="0"/>
  </sheetViews>
  <sheetFormatPr defaultRowHeight="45" customHeight="1" x14ac:dyDescent="0.45"/>
  <cols>
    <col min="1" max="1" width="9.140625" style="23"/>
    <col min="2" max="2" width="16.140625" style="23" customWidth="1"/>
    <col min="3" max="3" width="13.140625" style="23" customWidth="1"/>
    <col min="4" max="4" width="12.42578125" style="23" bestFit="1" customWidth="1"/>
    <col min="5" max="5" width="9.140625" style="23"/>
    <col min="6" max="6" width="15.42578125" style="23" customWidth="1"/>
    <col min="7" max="7" width="12.140625" style="23" customWidth="1"/>
    <col min="8" max="8" width="16.7109375" style="23" customWidth="1"/>
    <col min="9" max="9" width="13.140625" style="23" customWidth="1"/>
    <col min="10" max="10" width="14.140625" style="23" customWidth="1"/>
    <col min="11" max="16384" width="9.140625" style="23"/>
  </cols>
  <sheetData>
    <row r="1" spans="1:10" ht="67.5" customHeight="1" x14ac:dyDescent="0.45">
      <c r="A1" s="24" t="s">
        <v>541</v>
      </c>
      <c r="B1" s="24" t="s">
        <v>0</v>
      </c>
      <c r="C1" s="24" t="s">
        <v>3</v>
      </c>
      <c r="D1" s="24" t="s">
        <v>89</v>
      </c>
      <c r="E1" s="24"/>
      <c r="F1" s="24" t="s">
        <v>0</v>
      </c>
      <c r="G1" s="24" t="s">
        <v>77</v>
      </c>
      <c r="H1" s="24" t="s">
        <v>79</v>
      </c>
      <c r="I1" s="24" t="s">
        <v>78</v>
      </c>
      <c r="J1" s="24" t="s">
        <v>542</v>
      </c>
    </row>
    <row r="2" spans="1:10" ht="45" customHeight="1" x14ac:dyDescent="0.45">
      <c r="A2" s="24">
        <v>124</v>
      </c>
      <c r="B2" s="24" t="s">
        <v>77</v>
      </c>
      <c r="C2" s="24">
        <f>HLOOKUP(B2,$F$1:$J$3,2,FALSE)</f>
        <v>5000</v>
      </c>
      <c r="D2" s="24">
        <f>HLOOKUP(B2,$F$1:$J$3,3,FALSE)</f>
        <v>10000</v>
      </c>
      <c r="E2" s="24"/>
      <c r="F2" s="24" t="s">
        <v>3</v>
      </c>
      <c r="G2" s="24">
        <v>5000</v>
      </c>
      <c r="H2" s="24">
        <v>3500</v>
      </c>
      <c r="I2" s="24">
        <v>1500</v>
      </c>
      <c r="J2" s="24">
        <v>750</v>
      </c>
    </row>
    <row r="3" spans="1:10" ht="45" customHeight="1" x14ac:dyDescent="0.45">
      <c r="A3" s="24">
        <v>345</v>
      </c>
      <c r="B3" s="24" t="s">
        <v>79</v>
      </c>
      <c r="C3" s="24">
        <f t="shared" ref="C3:C7" si="0">HLOOKUP(B3,$F$1:$J$3,2,FALSE)</f>
        <v>3500</v>
      </c>
      <c r="D3" s="24">
        <f t="shared" ref="D3:D7" si="1">HLOOKUP(B3,$F$1:$J$3,3,FALSE)</f>
        <v>8000</v>
      </c>
      <c r="E3" s="24"/>
      <c r="F3" s="24" t="s">
        <v>89</v>
      </c>
      <c r="G3" s="24">
        <v>10000</v>
      </c>
      <c r="H3" s="24">
        <v>8000</v>
      </c>
      <c r="I3" s="24">
        <v>5000</v>
      </c>
      <c r="J3" s="24">
        <v>3000</v>
      </c>
    </row>
    <row r="4" spans="1:10" ht="45" customHeight="1" x14ac:dyDescent="0.45">
      <c r="A4" s="24">
        <v>441</v>
      </c>
      <c r="B4" s="24" t="s">
        <v>542</v>
      </c>
      <c r="C4" s="24">
        <f t="shared" si="0"/>
        <v>750</v>
      </c>
      <c r="D4" s="24">
        <f t="shared" si="1"/>
        <v>3000</v>
      </c>
      <c r="E4" s="24"/>
      <c r="F4" s="24"/>
      <c r="G4" s="24"/>
      <c r="H4" s="24"/>
      <c r="I4" s="24"/>
      <c r="J4" s="24"/>
    </row>
    <row r="5" spans="1:10" ht="45" customHeight="1" x14ac:dyDescent="0.45">
      <c r="A5" s="24">
        <v>528</v>
      </c>
      <c r="B5" s="24" t="s">
        <v>78</v>
      </c>
      <c r="C5" s="24">
        <f t="shared" si="0"/>
        <v>1500</v>
      </c>
      <c r="D5" s="24">
        <f t="shared" si="1"/>
        <v>5000</v>
      </c>
      <c r="E5" s="24"/>
      <c r="F5" s="24"/>
      <c r="G5" s="24"/>
      <c r="H5" s="24"/>
      <c r="I5" s="24"/>
      <c r="J5" s="24"/>
    </row>
    <row r="6" spans="1:10" ht="45" customHeight="1" x14ac:dyDescent="0.45">
      <c r="A6" s="24">
        <v>667</v>
      </c>
      <c r="B6" s="24" t="s">
        <v>79</v>
      </c>
      <c r="C6" s="24">
        <f t="shared" si="0"/>
        <v>3500</v>
      </c>
      <c r="D6" s="24">
        <f t="shared" si="1"/>
        <v>8000</v>
      </c>
      <c r="E6" s="24"/>
      <c r="F6" s="24"/>
      <c r="G6" s="24"/>
      <c r="H6" s="24"/>
      <c r="I6" s="24"/>
      <c r="J6" s="24"/>
    </row>
    <row r="7" spans="1:10" ht="45" customHeight="1" x14ac:dyDescent="0.45">
      <c r="A7" s="24">
        <v>801</v>
      </c>
      <c r="B7" s="24" t="s">
        <v>77</v>
      </c>
      <c r="C7" s="24">
        <f t="shared" si="0"/>
        <v>5000</v>
      </c>
      <c r="D7" s="24">
        <f t="shared" si="1"/>
        <v>10000</v>
      </c>
      <c r="E7" s="24"/>
      <c r="F7" s="24"/>
      <c r="G7" s="24"/>
      <c r="H7" s="24"/>
      <c r="I7" s="24"/>
      <c r="J7" s="24"/>
    </row>
    <row r="9" spans="1:10" ht="45" customHeight="1" x14ac:dyDescent="0.45">
      <c r="A9" s="10" t="s">
        <v>54</v>
      </c>
      <c r="C9" s="10" t="s">
        <v>545</v>
      </c>
    </row>
    <row r="10" spans="1:10" ht="45" customHeight="1" x14ac:dyDescent="0.45">
      <c r="A10" s="45" t="s">
        <v>546</v>
      </c>
      <c r="B10" s="45"/>
      <c r="C10" s="45"/>
      <c r="D10" s="45"/>
      <c r="E10" s="45"/>
      <c r="F10" s="45"/>
      <c r="G10" s="45"/>
      <c r="H10" s="45"/>
      <c r="I10" s="45"/>
      <c r="J10" s="45"/>
    </row>
    <row r="11" spans="1:10" ht="45" customHeight="1" x14ac:dyDescent="0.45">
      <c r="A11" s="10" t="s">
        <v>543</v>
      </c>
      <c r="B11" s="25"/>
      <c r="C11" s="25"/>
      <c r="D11" s="25"/>
      <c r="E11" s="25"/>
      <c r="F11" s="25"/>
      <c r="G11" s="25"/>
      <c r="H11" s="25"/>
      <c r="I11" s="25"/>
      <c r="J11" s="25"/>
    </row>
    <row r="12" spans="1:10" ht="45" customHeight="1" x14ac:dyDescent="0.45">
      <c r="A12" s="10" t="s">
        <v>544</v>
      </c>
      <c r="B12" s="10"/>
      <c r="C12" s="10"/>
      <c r="D12" s="10"/>
      <c r="E12" s="10"/>
      <c r="F12" s="10"/>
      <c r="G12" s="10"/>
      <c r="H12" s="10"/>
      <c r="I12" s="10"/>
      <c r="J12" s="10"/>
    </row>
  </sheetData>
  <mergeCells count="1">
    <mergeCell ref="A10:J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7"/>
  <sheetViews>
    <sheetView workbookViewId="0">
      <selection activeCell="J8" sqref="A1:XFD1048576"/>
    </sheetView>
  </sheetViews>
  <sheetFormatPr defaultRowHeight="15" x14ac:dyDescent="0.25"/>
  <cols>
    <col min="2" max="2" width="22.28515625" customWidth="1"/>
    <col min="3" max="3" width="16.28515625" customWidth="1"/>
    <col min="4" max="4" width="17.42578125" customWidth="1"/>
    <col min="6" max="6" width="13.42578125" bestFit="1" customWidth="1"/>
  </cols>
  <sheetData>
    <row r="1" spans="1:10" s="10" customFormat="1" ht="35.1" customHeight="1" x14ac:dyDescent="0.45">
      <c r="A1" s="10" t="s">
        <v>512</v>
      </c>
      <c r="B1" s="10" t="s">
        <v>513</v>
      </c>
      <c r="C1" s="10" t="s">
        <v>514</v>
      </c>
      <c r="D1" s="10" t="s">
        <v>515</v>
      </c>
      <c r="F1" s="7" t="s">
        <v>513</v>
      </c>
      <c r="G1" s="10">
        <v>0</v>
      </c>
      <c r="H1" s="10">
        <v>40</v>
      </c>
      <c r="I1" s="10">
        <v>70</v>
      </c>
      <c r="J1" s="10">
        <v>80</v>
      </c>
    </row>
    <row r="2" spans="1:10" s="10" customFormat="1" ht="35.1" customHeight="1" x14ac:dyDescent="0.45">
      <c r="A2" s="10">
        <v>23</v>
      </c>
      <c r="B2" s="10">
        <v>86</v>
      </c>
      <c r="C2" s="10" t="str">
        <f t="shared" ref="C2:C8" si="0">HLOOKUP(B2,$F$1:$J$3,2,TRUE)</f>
        <v>O</v>
      </c>
      <c r="D2" s="10" t="str">
        <f t="shared" ref="D2:D8" si="1">HLOOKUP(B2,$F$1:$J$3,3,TRUE)</f>
        <v>DIV A</v>
      </c>
      <c r="F2" s="7" t="s">
        <v>514</v>
      </c>
      <c r="G2" s="10" t="s">
        <v>21</v>
      </c>
      <c r="H2" s="10" t="s">
        <v>22</v>
      </c>
      <c r="I2" s="10" t="s">
        <v>4</v>
      </c>
      <c r="J2" s="10" t="s">
        <v>516</v>
      </c>
    </row>
    <row r="3" spans="1:10" s="10" customFormat="1" ht="35.1" customHeight="1" x14ac:dyDescent="0.45">
      <c r="A3" s="10">
        <v>32</v>
      </c>
      <c r="B3" s="10">
        <v>74</v>
      </c>
      <c r="C3" s="10" t="str">
        <f t="shared" si="0"/>
        <v>A</v>
      </c>
      <c r="D3" s="10" t="str">
        <f t="shared" si="1"/>
        <v>DIV B</v>
      </c>
      <c r="F3" s="10" t="s">
        <v>515</v>
      </c>
      <c r="G3" s="10" t="s">
        <v>517</v>
      </c>
      <c r="H3" s="1" t="s">
        <v>518</v>
      </c>
      <c r="I3" s="1" t="s">
        <v>519</v>
      </c>
      <c r="J3" s="1" t="s">
        <v>520</v>
      </c>
    </row>
    <row r="4" spans="1:10" s="10" customFormat="1" ht="35.1" customHeight="1" x14ac:dyDescent="0.45">
      <c r="A4" s="10">
        <v>43</v>
      </c>
      <c r="B4" s="10">
        <v>34</v>
      </c>
      <c r="C4" s="10" t="str">
        <f t="shared" si="0"/>
        <v>F</v>
      </c>
      <c r="D4" s="10" t="str">
        <f t="shared" si="1"/>
        <v>FAIL</v>
      </c>
    </row>
    <row r="5" spans="1:10" s="10" customFormat="1" ht="35.1" customHeight="1" x14ac:dyDescent="0.45">
      <c r="A5" s="10">
        <v>56</v>
      </c>
      <c r="B5" s="10">
        <v>44</v>
      </c>
      <c r="C5" s="10" t="str">
        <f t="shared" si="0"/>
        <v>D</v>
      </c>
      <c r="D5" s="10" t="str">
        <f t="shared" si="1"/>
        <v>DIV C</v>
      </c>
    </row>
    <row r="6" spans="1:10" s="10" customFormat="1" ht="35.1" customHeight="1" x14ac:dyDescent="0.45">
      <c r="A6" s="10">
        <v>67</v>
      </c>
      <c r="B6" s="10">
        <v>79</v>
      </c>
      <c r="C6" s="10" t="str">
        <f t="shared" si="0"/>
        <v>A</v>
      </c>
      <c r="D6" s="10" t="str">
        <f t="shared" si="1"/>
        <v>DIV B</v>
      </c>
    </row>
    <row r="7" spans="1:10" s="10" customFormat="1" ht="35.1" customHeight="1" x14ac:dyDescent="0.45">
      <c r="A7" s="10">
        <v>70</v>
      </c>
      <c r="B7" s="10">
        <v>98</v>
      </c>
      <c r="C7" s="10" t="str">
        <f t="shared" si="0"/>
        <v>O</v>
      </c>
      <c r="D7" s="10" t="str">
        <f t="shared" si="1"/>
        <v>DIV A</v>
      </c>
    </row>
    <row r="8" spans="1:10" s="10" customFormat="1" ht="35.1" customHeight="1" x14ac:dyDescent="0.45">
      <c r="A8" s="10">
        <v>87</v>
      </c>
      <c r="B8" s="10">
        <v>77</v>
      </c>
      <c r="C8" s="10" t="str">
        <f t="shared" si="0"/>
        <v>A</v>
      </c>
      <c r="D8" s="10" t="str">
        <f t="shared" si="1"/>
        <v>DIV B</v>
      </c>
    </row>
    <row r="9" spans="1:10" s="10" customFormat="1" ht="35.1" customHeight="1" x14ac:dyDescent="0.45"/>
    <row r="10" spans="1:10" s="10" customFormat="1" ht="35.1" customHeight="1" x14ac:dyDescent="0.45">
      <c r="A10" s="10" t="s">
        <v>521</v>
      </c>
      <c r="C10" s="10" t="s">
        <v>523</v>
      </c>
    </row>
    <row r="11" spans="1:10" s="10" customFormat="1" ht="35.1" customHeight="1" x14ac:dyDescent="0.45">
      <c r="A11" s="10" t="s">
        <v>522</v>
      </c>
      <c r="C11" s="10" t="s">
        <v>524</v>
      </c>
    </row>
    <row r="12" spans="1:10" s="10" customFormat="1" ht="35.1" customHeight="1" x14ac:dyDescent="0.45"/>
    <row r="13" spans="1:10" s="10" customFormat="1" ht="35.1" customHeight="1" x14ac:dyDescent="0.45"/>
    <row r="14" spans="1:10" s="10" customFormat="1" ht="35.1" customHeight="1" x14ac:dyDescent="0.45">
      <c r="A14" s="10" t="s">
        <v>525</v>
      </c>
    </row>
    <row r="15" spans="1:10" s="10" customFormat="1" ht="35.1" customHeight="1" x14ac:dyDescent="0.45">
      <c r="A15" s="10" t="s">
        <v>510</v>
      </c>
    </row>
    <row r="16" spans="1:10" s="10" customFormat="1" ht="35.1" customHeight="1" x14ac:dyDescent="0.45">
      <c r="A16" s="10" t="s">
        <v>511</v>
      </c>
    </row>
    <row r="17" s="10" customFormat="1" ht="35.1" customHeight="1" x14ac:dyDescent="0.4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5"/>
  <sheetViews>
    <sheetView workbookViewId="0">
      <selection activeCell="G7" sqref="G7"/>
    </sheetView>
  </sheetViews>
  <sheetFormatPr defaultRowHeight="30" customHeight="1" x14ac:dyDescent="0.4"/>
  <cols>
    <col min="1" max="1" width="21.7109375" style="7" customWidth="1"/>
    <col min="2" max="2" width="12" style="7" customWidth="1"/>
    <col min="3" max="3" width="13.28515625" style="7" customWidth="1"/>
    <col min="4" max="4" width="17.140625" style="7" customWidth="1"/>
    <col min="5" max="16384" width="9.140625" style="7"/>
  </cols>
  <sheetData>
    <row r="1" spans="1:4" ht="30" customHeight="1" x14ac:dyDescent="0.4">
      <c r="A1" s="7" t="s">
        <v>379</v>
      </c>
    </row>
    <row r="2" spans="1:4" ht="30" customHeight="1" x14ac:dyDescent="0.4">
      <c r="A2" s="7" t="s">
        <v>380</v>
      </c>
    </row>
    <row r="4" spans="1:4" ht="39.950000000000003" customHeight="1" x14ac:dyDescent="0.4">
      <c r="A4" s="14" t="s">
        <v>381</v>
      </c>
      <c r="B4" s="14">
        <v>2005</v>
      </c>
      <c r="C4" s="14">
        <v>2010</v>
      </c>
      <c r="D4" s="14">
        <v>2015</v>
      </c>
    </row>
    <row r="5" spans="1:4" ht="39.950000000000003" customHeight="1" x14ac:dyDescent="0.4">
      <c r="A5" s="14">
        <v>111</v>
      </c>
      <c r="B5" s="14">
        <v>213</v>
      </c>
      <c r="C5" s="14">
        <v>421</v>
      </c>
      <c r="D5" s="14">
        <v>340</v>
      </c>
    </row>
    <row r="6" spans="1:4" ht="39.950000000000003" customHeight="1" x14ac:dyDescent="0.4">
      <c r="A6" s="14">
        <v>222</v>
      </c>
      <c r="B6" s="14">
        <v>158</v>
      </c>
      <c r="C6" s="14">
        <v>220</v>
      </c>
      <c r="D6" s="14">
        <v>130</v>
      </c>
    </row>
    <row r="7" spans="1:4" ht="39.950000000000003" customHeight="1" x14ac:dyDescent="0.4">
      <c r="A7" s="14">
        <v>333</v>
      </c>
      <c r="B7" s="14">
        <v>210</v>
      </c>
      <c r="C7" s="14">
        <v>270</v>
      </c>
      <c r="D7" s="14">
        <v>195</v>
      </c>
    </row>
    <row r="8" spans="1:4" ht="39.950000000000003" customHeight="1" x14ac:dyDescent="0.4">
      <c r="A8" s="14">
        <v>444</v>
      </c>
      <c r="B8" s="14">
        <v>178</v>
      </c>
      <c r="C8" s="14">
        <v>215</v>
      </c>
      <c r="D8" s="14">
        <v>170</v>
      </c>
    </row>
    <row r="10" spans="1:4" ht="30" customHeight="1" x14ac:dyDescent="0.4">
      <c r="A10" s="7" t="s">
        <v>382</v>
      </c>
    </row>
    <row r="11" spans="1:4" ht="30" customHeight="1" x14ac:dyDescent="0.4">
      <c r="A11" s="7" t="s">
        <v>383</v>
      </c>
    </row>
    <row r="12" spans="1:4" ht="30" customHeight="1" x14ac:dyDescent="0.4">
      <c r="A12" s="7" t="s">
        <v>384</v>
      </c>
    </row>
    <row r="13" spans="1:4" ht="30" customHeight="1" x14ac:dyDescent="0.4">
      <c r="A13" s="7" t="s">
        <v>385</v>
      </c>
    </row>
    <row r="14" spans="1:4" ht="30" customHeight="1" x14ac:dyDescent="0.4">
      <c r="A14" s="7" t="s">
        <v>386</v>
      </c>
    </row>
    <row r="17" spans="1:4" ht="30" customHeight="1" x14ac:dyDescent="0.4">
      <c r="A17" s="14" t="s">
        <v>381</v>
      </c>
      <c r="B17" s="14">
        <v>2005</v>
      </c>
      <c r="C17" s="14">
        <v>2010</v>
      </c>
      <c r="D17" s="14">
        <v>2015</v>
      </c>
    </row>
    <row r="18" spans="1:4" ht="30" customHeight="1" x14ac:dyDescent="0.4">
      <c r="A18" s="14">
        <v>111</v>
      </c>
      <c r="B18" s="14">
        <v>213</v>
      </c>
      <c r="C18" s="14">
        <v>421</v>
      </c>
      <c r="D18" s="14">
        <v>340</v>
      </c>
    </row>
    <row r="19" spans="1:4" ht="30" customHeight="1" x14ac:dyDescent="0.4">
      <c r="A19" s="14">
        <v>222</v>
      </c>
      <c r="B19" s="14">
        <v>158</v>
      </c>
      <c r="C19" s="14">
        <v>220</v>
      </c>
      <c r="D19" s="14">
        <v>130</v>
      </c>
    </row>
    <row r="20" spans="1:4" ht="30" customHeight="1" x14ac:dyDescent="0.4">
      <c r="A20" s="14">
        <v>333</v>
      </c>
      <c r="B20" s="14">
        <v>210</v>
      </c>
      <c r="C20" s="14">
        <v>270</v>
      </c>
      <c r="D20" s="14">
        <v>195</v>
      </c>
    </row>
    <row r="21" spans="1:4" ht="30" customHeight="1" x14ac:dyDescent="0.4">
      <c r="A21" s="14">
        <v>444</v>
      </c>
      <c r="B21" s="14">
        <v>178</v>
      </c>
      <c r="C21" s="14">
        <v>215</v>
      </c>
      <c r="D21" s="14">
        <v>170</v>
      </c>
    </row>
    <row r="22" spans="1:4" ht="30" customHeight="1" x14ac:dyDescent="0.4">
      <c r="A22" s="8" t="s">
        <v>387</v>
      </c>
      <c r="B22" s="8">
        <f>SUM(B18:B21)</f>
        <v>759</v>
      </c>
      <c r="C22" s="8">
        <f t="shared" ref="C22:D22" si="0">SUM(C18:C21)</f>
        <v>1126</v>
      </c>
      <c r="D22" s="8">
        <f t="shared" si="0"/>
        <v>835</v>
      </c>
    </row>
    <row r="35" spans="1:1" ht="30" customHeight="1" x14ac:dyDescent="0.4">
      <c r="A35" s="7" t="s">
        <v>448</v>
      </c>
    </row>
    <row r="36" spans="1:1" ht="30" customHeight="1" x14ac:dyDescent="0.4">
      <c r="A36" s="7" t="s">
        <v>449</v>
      </c>
    </row>
    <row r="37" spans="1:1" ht="30" customHeight="1" x14ac:dyDescent="0.4">
      <c r="A37" s="7" t="s">
        <v>450</v>
      </c>
    </row>
    <row r="38" spans="1:1" ht="30" customHeight="1" x14ac:dyDescent="0.4">
      <c r="A38" s="7" t="s">
        <v>451</v>
      </c>
    </row>
    <row r="39" spans="1:1" ht="30" customHeight="1" x14ac:dyDescent="0.4">
      <c r="A39" s="7" t="s">
        <v>452</v>
      </c>
    </row>
    <row r="40" spans="1:1" ht="30" customHeight="1" x14ac:dyDescent="0.4">
      <c r="A40" s="7" t="s">
        <v>453</v>
      </c>
    </row>
    <row r="41" spans="1:1" ht="30" customHeight="1" x14ac:dyDescent="0.4">
      <c r="A41" s="7" t="s">
        <v>456</v>
      </c>
    </row>
    <row r="42" spans="1:1" ht="30" customHeight="1" x14ac:dyDescent="0.4">
      <c r="A42" s="7" t="s">
        <v>454</v>
      </c>
    </row>
    <row r="43" spans="1:1" ht="30" customHeight="1" x14ac:dyDescent="0.4">
      <c r="A43" s="7" t="s">
        <v>455</v>
      </c>
    </row>
    <row r="44" spans="1:1" ht="30" customHeight="1" x14ac:dyDescent="0.4">
      <c r="A44" s="7" t="s">
        <v>457</v>
      </c>
    </row>
    <row r="45" spans="1:1" ht="30" customHeight="1" x14ac:dyDescent="0.4">
      <c r="A45" s="7" t="s">
        <v>458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92"/>
  <sheetViews>
    <sheetView topLeftCell="A19" workbookViewId="0">
      <selection activeCell="A24" sqref="A24:A38"/>
    </sheetView>
  </sheetViews>
  <sheetFormatPr defaultRowHeight="35.1" customHeight="1" x14ac:dyDescent="0.45"/>
  <cols>
    <col min="1" max="1" width="20" style="10" customWidth="1"/>
    <col min="2" max="2" width="19.7109375" style="10" customWidth="1"/>
    <col min="3" max="3" width="17.5703125" style="10" customWidth="1"/>
    <col min="4" max="4" width="18.140625" style="10" customWidth="1"/>
    <col min="5" max="5" width="17.140625" style="10" customWidth="1"/>
    <col min="6" max="16384" width="9.140625" style="10"/>
  </cols>
  <sheetData>
    <row r="1" spans="2:18" ht="35.1" customHeight="1" x14ac:dyDescent="0.45">
      <c r="B1" s="22" t="s">
        <v>388</v>
      </c>
    </row>
    <row r="2" spans="2:18" ht="35.1" customHeight="1" x14ac:dyDescent="0.45">
      <c r="B2" s="10" t="s">
        <v>389</v>
      </c>
    </row>
    <row r="3" spans="2:18" ht="35.1" customHeight="1" x14ac:dyDescent="0.45">
      <c r="B3" s="10" t="s">
        <v>548</v>
      </c>
    </row>
    <row r="4" spans="2:18" ht="35.1" customHeight="1" x14ac:dyDescent="0.45">
      <c r="B4" s="10" t="s">
        <v>390</v>
      </c>
      <c r="C4" s="15"/>
      <c r="D4" s="15"/>
      <c r="E4" s="15"/>
    </row>
    <row r="5" spans="2:18" ht="35.1" customHeight="1" x14ac:dyDescent="0.45">
      <c r="B5" s="22" t="s">
        <v>547</v>
      </c>
      <c r="C5" s="26"/>
      <c r="D5" s="26"/>
      <c r="E5" s="15"/>
    </row>
    <row r="6" spans="2:18" ht="35.1" customHeight="1" x14ac:dyDescent="0.45">
      <c r="C6" s="15"/>
      <c r="D6" s="15"/>
      <c r="E6" s="15"/>
    </row>
    <row r="7" spans="2:18" ht="35.1" customHeight="1" x14ac:dyDescent="0.45">
      <c r="B7" s="10" t="s">
        <v>549</v>
      </c>
      <c r="C7" s="15"/>
      <c r="D7" s="15"/>
      <c r="E7" s="15"/>
    </row>
    <row r="8" spans="2:18" ht="35.1" customHeight="1" x14ac:dyDescent="0.45">
      <c r="B8" s="10" t="s">
        <v>550</v>
      </c>
      <c r="C8" s="15"/>
      <c r="D8" s="15"/>
      <c r="E8" s="15"/>
    </row>
    <row r="9" spans="2:18" ht="35.1" customHeight="1" x14ac:dyDescent="0.45">
      <c r="B9" s="10" t="s">
        <v>551</v>
      </c>
      <c r="C9" s="15"/>
      <c r="D9" s="15"/>
      <c r="E9" s="15"/>
    </row>
    <row r="10" spans="2:18" ht="35.1" customHeight="1" x14ac:dyDescent="0.45">
      <c r="C10" s="15"/>
      <c r="D10" s="15"/>
      <c r="E10" s="15"/>
    </row>
    <row r="11" spans="2:18" ht="35.1" customHeight="1" x14ac:dyDescent="0.45">
      <c r="B11" s="16" t="s">
        <v>30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2:18" ht="35.1" customHeight="1" x14ac:dyDescent="0.45">
      <c r="B12" s="16" t="s">
        <v>391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spans="2:18" ht="35.1" customHeight="1" x14ac:dyDescent="0.45">
      <c r="B13" s="16" t="s">
        <v>392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spans="2:18" ht="35.1" customHeight="1" x14ac:dyDescent="0.45">
      <c r="B14" s="16" t="s">
        <v>393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2:18" ht="35.1" customHeight="1" x14ac:dyDescent="0.45">
      <c r="B15" s="16" t="s">
        <v>394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2:18" ht="35.1" customHeight="1" x14ac:dyDescent="0.45">
      <c r="B16" s="16" t="s">
        <v>395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spans="1:18" ht="35.1" customHeight="1" x14ac:dyDescent="0.45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1:18" ht="35.1" customHeight="1" x14ac:dyDescent="0.45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 spans="1:18" ht="35.1" customHeight="1" x14ac:dyDescent="0.45">
      <c r="A19" s="16" t="s">
        <v>396</v>
      </c>
      <c r="B19" s="16">
        <v>300</v>
      </c>
      <c r="C19" s="17">
        <v>983.60655737901629</v>
      </c>
      <c r="D19" s="17">
        <f>B19*C19</f>
        <v>295081.96721370489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spans="1:18" ht="35.1" customHeight="1" x14ac:dyDescent="0.45">
      <c r="A20" s="16" t="s">
        <v>398</v>
      </c>
      <c r="B20" s="16">
        <v>200</v>
      </c>
      <c r="C20" s="17">
        <v>655.7377049193442</v>
      </c>
      <c r="D20" s="17">
        <f t="shared" ref="D20:D21" si="0">B20*C20</f>
        <v>131147.54098386885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spans="1:18" ht="35.1" customHeight="1" x14ac:dyDescent="0.45">
      <c r="A21" s="16" t="s">
        <v>397</v>
      </c>
      <c r="B21" s="16">
        <v>150</v>
      </c>
      <c r="C21" s="17">
        <v>491.80327868950815</v>
      </c>
      <c r="D21" s="17">
        <f t="shared" si="0"/>
        <v>73770.491803426223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1:18" ht="35.1" customHeight="1" x14ac:dyDescent="0.45">
      <c r="B22" s="16"/>
      <c r="C22" s="16"/>
      <c r="D22" s="16">
        <f>SUM(D19:D21)</f>
        <v>500000.00000099995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spans="1:18" ht="35.1" customHeight="1" x14ac:dyDescent="0.45"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spans="1:18" ht="35.1" customHeight="1" x14ac:dyDescent="0.45">
      <c r="A24" s="16" t="s">
        <v>399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spans="1:18" ht="35.1" customHeight="1" x14ac:dyDescent="0.45">
      <c r="A25" s="16" t="s">
        <v>400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spans="1:18" ht="35.1" customHeight="1" x14ac:dyDescent="0.45">
      <c r="A26" s="16" t="s">
        <v>401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spans="1:18" ht="35.1" customHeight="1" x14ac:dyDescent="0.45">
      <c r="A27" s="16" t="s">
        <v>402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1:18" ht="35.1" customHeight="1" x14ac:dyDescent="0.45">
      <c r="A28" s="16" t="s">
        <v>403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1:18" ht="35.1" customHeight="1" x14ac:dyDescent="0.45">
      <c r="A29" s="16" t="s">
        <v>404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spans="1:18" ht="35.1" customHeight="1" x14ac:dyDescent="0.45">
      <c r="A30" s="16" t="s">
        <v>405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</row>
    <row r="31" spans="1:18" ht="35.1" customHeight="1" x14ac:dyDescent="0.45">
      <c r="A31" s="16" t="s">
        <v>406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spans="1:18" ht="35.1" customHeight="1" x14ac:dyDescent="0.45">
      <c r="A32" s="16" t="s">
        <v>407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spans="1:18" ht="35.1" customHeight="1" x14ac:dyDescent="0.45">
      <c r="A33" s="16" t="s">
        <v>408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spans="1:18" ht="35.1" customHeight="1" x14ac:dyDescent="0.45">
      <c r="A34" s="16" t="s">
        <v>409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</row>
    <row r="35" spans="1:18" ht="35.1" customHeight="1" x14ac:dyDescent="0.45">
      <c r="A35" s="16" t="s">
        <v>410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spans="1:18" ht="35.1" customHeight="1" x14ac:dyDescent="0.45">
      <c r="A36" s="16" t="s">
        <v>411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</row>
    <row r="37" spans="1:18" ht="35.1" customHeight="1" x14ac:dyDescent="0.45">
      <c r="A37" s="16" t="s">
        <v>412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 spans="1:18" ht="35.1" customHeight="1" x14ac:dyDescent="0.45">
      <c r="A38" s="16" t="s">
        <v>413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 spans="1:18" ht="35.1" customHeight="1" x14ac:dyDescent="0.45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spans="1:18" ht="35.1" customHeight="1" x14ac:dyDescent="0.45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spans="1:18" ht="35.1" customHeight="1" x14ac:dyDescent="0.4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</row>
    <row r="42" spans="1:18" ht="35.1" customHeight="1" x14ac:dyDescent="0.45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 spans="1:18" ht="35.1" customHeight="1" x14ac:dyDescent="0.45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 spans="1:18" ht="35.1" customHeight="1" x14ac:dyDescent="0.45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</row>
    <row r="45" spans="1:18" ht="35.1" customHeight="1" x14ac:dyDescent="0.45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</row>
    <row r="46" spans="1:18" ht="35.1" customHeight="1" x14ac:dyDescent="0.45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spans="1:18" ht="35.1" customHeight="1" x14ac:dyDescent="0.45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 spans="1:18" ht="35.1" customHeight="1" x14ac:dyDescent="0.45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</row>
    <row r="49" spans="2:18" ht="35.1" customHeight="1" x14ac:dyDescent="0.45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spans="2:18" ht="35.1" customHeight="1" x14ac:dyDescent="0.45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spans="2:18" ht="35.1" customHeight="1" x14ac:dyDescent="0.45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</row>
    <row r="52" spans="2:18" ht="35.1" customHeight="1" x14ac:dyDescent="0.45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</row>
    <row r="53" spans="2:18" ht="35.1" customHeight="1" x14ac:dyDescent="0.45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</row>
    <row r="54" spans="2:18" ht="35.1" customHeight="1" x14ac:dyDescent="0.45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</row>
    <row r="55" spans="2:18" ht="35.1" customHeight="1" x14ac:dyDescent="0.45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 spans="2:18" ht="35.1" customHeight="1" x14ac:dyDescent="0.45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spans="2:18" ht="35.1" customHeight="1" x14ac:dyDescent="0.45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 spans="2:18" ht="35.1" customHeight="1" x14ac:dyDescent="0.45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spans="2:18" ht="35.1" customHeight="1" x14ac:dyDescent="0.45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spans="2:18" ht="35.1" customHeight="1" x14ac:dyDescent="0.45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 spans="2:18" ht="35.1" customHeight="1" x14ac:dyDescent="0.45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 spans="2:18" ht="35.1" customHeight="1" x14ac:dyDescent="0.45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spans="2:18" ht="35.1" customHeight="1" x14ac:dyDescent="0.45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</row>
    <row r="64" spans="2:18" ht="35.1" customHeight="1" x14ac:dyDescent="0.45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 spans="2:18" ht="35.1" customHeight="1" x14ac:dyDescent="0.45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</row>
    <row r="66" spans="2:18" ht="35.1" customHeight="1" x14ac:dyDescent="0.45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</row>
    <row r="67" spans="2:18" ht="35.1" customHeight="1" x14ac:dyDescent="0.45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</row>
    <row r="68" spans="2:18" ht="35.1" customHeight="1" x14ac:dyDescent="0.45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</row>
    <row r="69" spans="2:18" ht="35.1" customHeight="1" x14ac:dyDescent="0.45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</row>
    <row r="70" spans="2:18" ht="35.1" customHeight="1" x14ac:dyDescent="0.4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</row>
    <row r="71" spans="2:18" ht="35.1" customHeight="1" x14ac:dyDescent="0.45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</row>
    <row r="72" spans="2:18" ht="35.1" customHeight="1" x14ac:dyDescent="0.4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</row>
    <row r="73" spans="2:18" ht="35.1" customHeight="1" x14ac:dyDescent="0.45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 spans="2:18" ht="35.1" customHeight="1" x14ac:dyDescent="0.45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</row>
    <row r="75" spans="2:18" ht="35.1" customHeight="1" x14ac:dyDescent="0.45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</row>
    <row r="76" spans="2:18" ht="35.1" customHeight="1" x14ac:dyDescent="0.45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</row>
    <row r="77" spans="2:18" ht="35.1" customHeight="1" x14ac:dyDescent="0.45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 spans="2:18" ht="35.1" customHeight="1" x14ac:dyDescent="0.45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</row>
    <row r="79" spans="2:18" ht="35.1" customHeight="1" x14ac:dyDescent="0.45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</row>
    <row r="80" spans="2:18" ht="35.1" customHeight="1" x14ac:dyDescent="0.45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</row>
    <row r="81" spans="2:18" ht="35.1" customHeight="1" x14ac:dyDescent="0.45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</row>
    <row r="82" spans="2:18" ht="35.1" customHeight="1" x14ac:dyDescent="0.45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</row>
    <row r="83" spans="2:18" ht="35.1" customHeight="1" x14ac:dyDescent="0.45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</row>
    <row r="84" spans="2:18" ht="35.1" customHeight="1" x14ac:dyDescent="0.45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</row>
    <row r="85" spans="2:18" ht="35.1" customHeight="1" x14ac:dyDescent="0.45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</row>
    <row r="86" spans="2:18" ht="35.1" customHeight="1" x14ac:dyDescent="0.45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</row>
    <row r="87" spans="2:18" ht="35.1" customHeight="1" x14ac:dyDescent="0.45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</row>
    <row r="88" spans="2:18" ht="35.1" customHeight="1" x14ac:dyDescent="0.45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</row>
    <row r="89" spans="2:18" ht="35.1" customHeight="1" x14ac:dyDescent="0.45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</row>
    <row r="90" spans="2:18" ht="35.1" customHeight="1" x14ac:dyDescent="0.45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</row>
    <row r="91" spans="2:18" ht="35.1" customHeight="1" x14ac:dyDescent="0.45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</row>
    <row r="92" spans="2:18" ht="35.1" customHeight="1" x14ac:dyDescent="0.45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</row>
  </sheetData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4"/>
  <sheetViews>
    <sheetView workbookViewId="0"/>
  </sheetViews>
  <sheetFormatPr defaultRowHeight="35.1" customHeight="1" x14ac:dyDescent="0.45"/>
  <cols>
    <col min="1" max="1" width="16.28515625" style="10" customWidth="1"/>
    <col min="2" max="2" width="25.5703125" style="10" customWidth="1"/>
    <col min="3" max="3" width="22.28515625" style="10" customWidth="1"/>
    <col min="4" max="4" width="22.7109375" style="10" customWidth="1"/>
    <col min="5" max="16384" width="9.140625" style="10"/>
  </cols>
  <sheetData>
    <row r="1" spans="1:4" ht="35.1" customHeight="1" x14ac:dyDescent="0.45">
      <c r="A1" s="10" t="s">
        <v>552</v>
      </c>
    </row>
    <row r="2" spans="1:4" ht="35.1" customHeight="1" x14ac:dyDescent="0.45">
      <c r="A2" s="10" t="s">
        <v>478</v>
      </c>
    </row>
    <row r="3" spans="1:4" ht="35.1" customHeight="1" x14ac:dyDescent="0.45">
      <c r="A3" s="10" t="s">
        <v>479</v>
      </c>
      <c r="B3" s="10" t="s">
        <v>480</v>
      </c>
      <c r="C3" s="10" t="s">
        <v>481</v>
      </c>
      <c r="D3" s="10" t="s">
        <v>482</v>
      </c>
    </row>
    <row r="4" spans="1:4" ht="35.1" customHeight="1" x14ac:dyDescent="0.45">
      <c r="A4" s="10" t="s">
        <v>4</v>
      </c>
      <c r="B4" s="10">
        <v>5000</v>
      </c>
      <c r="C4" s="10">
        <v>100</v>
      </c>
      <c r="D4" s="10">
        <f>B4*C4</f>
        <v>500000</v>
      </c>
    </row>
    <row r="5" spans="1:4" ht="35.1" customHeight="1" x14ac:dyDescent="0.45">
      <c r="A5" s="10" t="s">
        <v>5</v>
      </c>
      <c r="B5" s="10">
        <v>3000</v>
      </c>
      <c r="C5" s="10">
        <v>150</v>
      </c>
      <c r="D5" s="10">
        <f>B5*C5</f>
        <v>450000</v>
      </c>
    </row>
    <row r="6" spans="1:4" ht="35.1" customHeight="1" x14ac:dyDescent="0.45">
      <c r="D6" s="10">
        <f>D4+D5</f>
        <v>950000</v>
      </c>
    </row>
    <row r="8" spans="1:4" ht="35.1" customHeight="1" x14ac:dyDescent="0.45">
      <c r="A8" s="10" t="s">
        <v>483</v>
      </c>
    </row>
    <row r="9" spans="1:4" ht="35.1" customHeight="1" x14ac:dyDescent="0.45">
      <c r="A9" s="10" t="s">
        <v>486</v>
      </c>
    </row>
    <row r="10" spans="1:4" ht="35.1" customHeight="1" x14ac:dyDescent="0.45">
      <c r="A10" s="10" t="s">
        <v>484</v>
      </c>
    </row>
    <row r="11" spans="1:4" ht="35.1" customHeight="1" x14ac:dyDescent="0.45">
      <c r="A11" s="10" t="s">
        <v>485</v>
      </c>
    </row>
    <row r="14" spans="1:4" ht="35.1" customHeight="1" x14ac:dyDescent="0.45">
      <c r="A14" s="10" t="s">
        <v>479</v>
      </c>
      <c r="B14" s="10" t="s">
        <v>480</v>
      </c>
      <c r="C14" s="10" t="s">
        <v>481</v>
      </c>
      <c r="D14" s="10" t="s">
        <v>482</v>
      </c>
    </row>
    <row r="15" spans="1:4" ht="35.1" customHeight="1" x14ac:dyDescent="0.45">
      <c r="A15" s="10" t="s">
        <v>4</v>
      </c>
      <c r="B15" s="10">
        <v>5000</v>
      </c>
      <c r="C15" s="20">
        <v>1470.5882352941173</v>
      </c>
      <c r="D15" s="10">
        <f>B15*C15</f>
        <v>7352941.176470587</v>
      </c>
    </row>
    <row r="16" spans="1:4" ht="35.1" customHeight="1" x14ac:dyDescent="0.45">
      <c r="A16" s="10" t="s">
        <v>5</v>
      </c>
      <c r="B16" s="10">
        <v>3000</v>
      </c>
      <c r="C16" s="20">
        <v>882.35294117647049</v>
      </c>
      <c r="D16" s="10">
        <f>B16*C16</f>
        <v>2647058.8235294116</v>
      </c>
    </row>
    <row r="17" spans="1:4" ht="35.1" customHeight="1" x14ac:dyDescent="0.45">
      <c r="D17" s="10">
        <f>D15+D16</f>
        <v>9999999.9999999981</v>
      </c>
    </row>
    <row r="19" spans="1:4" ht="35.1" customHeight="1" x14ac:dyDescent="0.45">
      <c r="A19" s="10" t="s">
        <v>448</v>
      </c>
    </row>
    <row r="20" spans="1:4" ht="35.1" customHeight="1" x14ac:dyDescent="0.45">
      <c r="A20" s="20" t="s">
        <v>487</v>
      </c>
    </row>
    <row r="21" spans="1:4" ht="35.1" customHeight="1" x14ac:dyDescent="0.45">
      <c r="A21" s="10" t="s">
        <v>488</v>
      </c>
    </row>
    <row r="22" spans="1:4" ht="35.1" customHeight="1" x14ac:dyDescent="0.45">
      <c r="A22" s="10" t="s">
        <v>489</v>
      </c>
    </row>
    <row r="23" spans="1:4" ht="35.1" customHeight="1" x14ac:dyDescent="0.45">
      <c r="A23" s="10" t="s">
        <v>490</v>
      </c>
    </row>
    <row r="24" spans="1:4" ht="35.1" customHeight="1" x14ac:dyDescent="0.45">
      <c r="A24" s="10" t="s">
        <v>491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2"/>
  <sheetViews>
    <sheetView workbookViewId="0">
      <selection activeCell="E6" sqref="E6"/>
    </sheetView>
  </sheetViews>
  <sheetFormatPr defaultRowHeight="35.1" customHeight="1" x14ac:dyDescent="0.45"/>
  <cols>
    <col min="1" max="1" width="31" style="10" customWidth="1"/>
    <col min="2" max="2" width="30.42578125" style="10" customWidth="1"/>
    <col min="3" max="3" width="31.140625" style="10" customWidth="1"/>
    <col min="4" max="4" width="14.5703125" style="10" bestFit="1" customWidth="1"/>
    <col min="5" max="16384" width="9.140625" style="10"/>
  </cols>
  <sheetData>
    <row r="1" spans="1:3" ht="35.1" customHeight="1" x14ac:dyDescent="0.45">
      <c r="A1" s="10" t="s">
        <v>415</v>
      </c>
      <c r="B1" s="10" t="s">
        <v>416</v>
      </c>
      <c r="C1" s="10" t="s">
        <v>417</v>
      </c>
    </row>
    <row r="2" spans="1:3" ht="35.1" customHeight="1" x14ac:dyDescent="0.45">
      <c r="A2" s="10" t="s">
        <v>418</v>
      </c>
      <c r="B2" s="10">
        <v>200000</v>
      </c>
      <c r="C2" s="10">
        <f>B2*1.5</f>
        <v>300000</v>
      </c>
    </row>
    <row r="3" spans="1:3" ht="35.1" customHeight="1" x14ac:dyDescent="0.45">
      <c r="A3" s="10" t="s">
        <v>419</v>
      </c>
      <c r="B3" s="10">
        <v>15000</v>
      </c>
      <c r="C3" s="10">
        <f>B3*1.25</f>
        <v>18750</v>
      </c>
    </row>
    <row r="4" spans="1:3" ht="35.1" customHeight="1" x14ac:dyDescent="0.45">
      <c r="A4" s="10" t="s">
        <v>420</v>
      </c>
      <c r="B4" s="10">
        <v>25000</v>
      </c>
      <c r="C4" s="10">
        <f>B4*1.5</f>
        <v>37500</v>
      </c>
    </row>
    <row r="5" spans="1:3" ht="35.1" customHeight="1" x14ac:dyDescent="0.45">
      <c r="A5" s="10" t="s">
        <v>421</v>
      </c>
      <c r="B5" s="10">
        <v>10000</v>
      </c>
      <c r="C5" s="10">
        <f>B5*1.3</f>
        <v>13000</v>
      </c>
    </row>
    <row r="6" spans="1:3" ht="58.5" customHeight="1" x14ac:dyDescent="0.45">
      <c r="A6" s="18" t="s">
        <v>422</v>
      </c>
      <c r="B6" s="10">
        <f>SUM(B2:B5)</f>
        <v>250000</v>
      </c>
      <c r="C6" s="10">
        <f>SUM(C2:C5)</f>
        <v>369250</v>
      </c>
    </row>
    <row r="8" spans="1:3" ht="35.1" customHeight="1" x14ac:dyDescent="0.45">
      <c r="A8" s="10">
        <v>6250</v>
      </c>
      <c r="C8" s="10">
        <f>A8*12*6</f>
        <v>450000</v>
      </c>
    </row>
    <row r="10" spans="1:3" ht="35.1" customHeight="1" x14ac:dyDescent="0.45">
      <c r="A10" s="10" t="s">
        <v>459</v>
      </c>
    </row>
    <row r="11" spans="1:3" ht="35.1" customHeight="1" x14ac:dyDescent="0.45">
      <c r="A11" s="10" t="s">
        <v>508</v>
      </c>
    </row>
    <row r="12" spans="1:3" ht="35.1" customHeight="1" x14ac:dyDescent="0.45">
      <c r="A12" s="10" t="s">
        <v>460</v>
      </c>
    </row>
    <row r="13" spans="1:3" ht="35.1" customHeight="1" x14ac:dyDescent="0.45">
      <c r="A13" s="10" t="s">
        <v>461</v>
      </c>
    </row>
    <row r="14" spans="1:3" ht="35.1" customHeight="1" x14ac:dyDescent="0.45">
      <c r="A14" s="10" t="s">
        <v>462</v>
      </c>
    </row>
    <row r="15" spans="1:3" ht="35.1" customHeight="1" x14ac:dyDescent="0.45">
      <c r="A15" s="10" t="s">
        <v>501</v>
      </c>
    </row>
    <row r="16" spans="1:3" ht="35.1" customHeight="1" x14ac:dyDescent="0.45">
      <c r="A16" s="10" t="s">
        <v>463</v>
      </c>
    </row>
    <row r="17" spans="1:1" ht="35.1" customHeight="1" x14ac:dyDescent="0.45">
      <c r="A17" s="10" t="s">
        <v>464</v>
      </c>
    </row>
    <row r="19" spans="1:1" ht="35.1" customHeight="1" x14ac:dyDescent="0.45">
      <c r="A19" s="10" t="s">
        <v>465</v>
      </c>
    </row>
    <row r="20" spans="1:1" ht="35.1" customHeight="1" x14ac:dyDescent="0.45">
      <c r="A20" s="10" t="s">
        <v>466</v>
      </c>
    </row>
    <row r="21" spans="1:1" ht="35.1" customHeight="1" x14ac:dyDescent="0.45">
      <c r="A21" s="10" t="s">
        <v>467</v>
      </c>
    </row>
    <row r="22" spans="1:1" ht="35.1" customHeight="1" x14ac:dyDescent="0.45">
      <c r="A22" s="10" t="s">
        <v>468</v>
      </c>
    </row>
    <row r="23" spans="1:1" ht="35.1" customHeight="1" x14ac:dyDescent="0.45">
      <c r="A23" s="10" t="s">
        <v>469</v>
      </c>
    </row>
    <row r="24" spans="1:1" ht="35.1" customHeight="1" x14ac:dyDescent="0.45">
      <c r="A24" s="10" t="s">
        <v>470</v>
      </c>
    </row>
    <row r="25" spans="1:1" ht="35.1" customHeight="1" x14ac:dyDescent="0.45">
      <c r="A25" s="10" t="s">
        <v>471</v>
      </c>
    </row>
    <row r="26" spans="1:1" ht="35.1" customHeight="1" x14ac:dyDescent="0.45">
      <c r="A26" s="10" t="s">
        <v>472</v>
      </c>
    </row>
    <row r="27" spans="1:1" ht="35.1" customHeight="1" x14ac:dyDescent="0.45">
      <c r="A27" s="10" t="s">
        <v>473</v>
      </c>
    </row>
    <row r="28" spans="1:1" ht="35.1" customHeight="1" x14ac:dyDescent="0.45">
      <c r="A28" s="10" t="s">
        <v>474</v>
      </c>
    </row>
    <row r="29" spans="1:1" ht="35.1" customHeight="1" x14ac:dyDescent="0.45">
      <c r="A29" s="10" t="s">
        <v>509</v>
      </c>
    </row>
    <row r="30" spans="1:1" ht="35.1" customHeight="1" x14ac:dyDescent="0.45">
      <c r="A30" s="10" t="s">
        <v>475</v>
      </c>
    </row>
    <row r="31" spans="1:1" ht="35.1" customHeight="1" x14ac:dyDescent="0.45">
      <c r="A31" s="10" t="s">
        <v>476</v>
      </c>
    </row>
    <row r="32" spans="1:1" ht="35.1" customHeight="1" x14ac:dyDescent="0.45">
      <c r="A32" s="10" t="s">
        <v>477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4"/>
  <sheetViews>
    <sheetView workbookViewId="0">
      <selection activeCell="C11" sqref="C11"/>
    </sheetView>
  </sheetViews>
  <sheetFormatPr defaultRowHeight="35.1" customHeight="1" x14ac:dyDescent="0.45"/>
  <cols>
    <col min="1" max="1" width="35.7109375" style="10" customWidth="1"/>
    <col min="2" max="2" width="23.85546875" style="10" customWidth="1"/>
    <col min="3" max="16384" width="9.140625" style="10"/>
  </cols>
  <sheetData>
    <row r="1" spans="1:2" ht="35.1" customHeight="1" x14ac:dyDescent="0.45">
      <c r="A1" s="22" t="s">
        <v>553</v>
      </c>
    </row>
    <row r="2" spans="1:2" ht="35.1" customHeight="1" x14ac:dyDescent="0.45">
      <c r="A2" s="10" t="s">
        <v>554</v>
      </c>
    </row>
    <row r="3" spans="1:2" ht="35.1" customHeight="1" x14ac:dyDescent="0.45">
      <c r="A3" s="10" t="s">
        <v>555</v>
      </c>
    </row>
    <row r="4" spans="1:2" ht="35.1" customHeight="1" x14ac:dyDescent="0.45">
      <c r="A4" s="10" t="s">
        <v>556</v>
      </c>
    </row>
    <row r="7" spans="1:2" ht="35.1" customHeight="1" x14ac:dyDescent="0.45">
      <c r="A7" s="10" t="s">
        <v>557</v>
      </c>
    </row>
    <row r="9" spans="1:2" ht="35.1" customHeight="1" x14ac:dyDescent="0.45">
      <c r="A9" s="19" t="s">
        <v>558</v>
      </c>
      <c r="B9" s="19" t="s">
        <v>559</v>
      </c>
    </row>
    <row r="10" spans="1:2" ht="35.1" customHeight="1" x14ac:dyDescent="0.45">
      <c r="A10" s="19" t="s">
        <v>560</v>
      </c>
      <c r="B10" s="19">
        <v>60000</v>
      </c>
    </row>
    <row r="11" spans="1:2" ht="35.1" customHeight="1" x14ac:dyDescent="0.45">
      <c r="A11" s="19" t="s">
        <v>561</v>
      </c>
      <c r="B11" s="19">
        <v>8000</v>
      </c>
    </row>
    <row r="12" spans="1:2" ht="35.1" customHeight="1" x14ac:dyDescent="0.45">
      <c r="A12" s="19" t="s">
        <v>562</v>
      </c>
      <c r="B12" s="19">
        <v>30000</v>
      </c>
    </row>
    <row r="13" spans="1:2" ht="35.1" customHeight="1" x14ac:dyDescent="0.45">
      <c r="A13" s="19" t="s">
        <v>563</v>
      </c>
      <c r="B13" s="19">
        <v>6000</v>
      </c>
    </row>
    <row r="14" spans="1:2" ht="35.1" customHeight="1" x14ac:dyDescent="0.45">
      <c r="A14" s="19" t="s">
        <v>564</v>
      </c>
      <c r="B14" s="19">
        <v>7000</v>
      </c>
    </row>
    <row r="15" spans="1:2" ht="35.1" customHeight="1" x14ac:dyDescent="0.45">
      <c r="A15" s="19" t="s">
        <v>421</v>
      </c>
      <c r="B15" s="19">
        <v>3000</v>
      </c>
    </row>
    <row r="16" spans="1:2" ht="35.1" customHeight="1" x14ac:dyDescent="0.45">
      <c r="A16" s="19" t="s">
        <v>271</v>
      </c>
      <c r="B16" s="19">
        <f>SUM(B10:B15)</f>
        <v>114000</v>
      </c>
    </row>
    <row r="18" spans="1:1" ht="35.1" customHeight="1" x14ac:dyDescent="0.45">
      <c r="A18" s="10" t="s">
        <v>565</v>
      </c>
    </row>
    <row r="19" spans="1:1" ht="35.1" customHeight="1" x14ac:dyDescent="0.45">
      <c r="A19" s="10" t="s">
        <v>566</v>
      </c>
    </row>
    <row r="20" spans="1:1" ht="35.1" customHeight="1" x14ac:dyDescent="0.45">
      <c r="A20" s="10" t="s">
        <v>567</v>
      </c>
    </row>
    <row r="21" spans="1:1" ht="35.1" customHeight="1" x14ac:dyDescent="0.45">
      <c r="A21" s="10" t="s">
        <v>568</v>
      </c>
    </row>
    <row r="22" spans="1:1" ht="35.1" customHeight="1" x14ac:dyDescent="0.45">
      <c r="A22" s="10" t="s">
        <v>569</v>
      </c>
    </row>
    <row r="25" spans="1:1" ht="35.1" customHeight="1" x14ac:dyDescent="0.45">
      <c r="A25" s="10" t="s">
        <v>570</v>
      </c>
    </row>
    <row r="26" spans="1:1" ht="35.1" customHeight="1" x14ac:dyDescent="0.45">
      <c r="A26" s="10" t="s">
        <v>571</v>
      </c>
    </row>
    <row r="27" spans="1:1" ht="35.1" customHeight="1" x14ac:dyDescent="0.45">
      <c r="A27" s="10" t="s">
        <v>572</v>
      </c>
    </row>
    <row r="28" spans="1:1" ht="35.1" customHeight="1" x14ac:dyDescent="0.45">
      <c r="A28" s="10" t="s">
        <v>573</v>
      </c>
    </row>
    <row r="29" spans="1:1" ht="35.1" customHeight="1" x14ac:dyDescent="0.45">
      <c r="A29" s="10" t="s">
        <v>574</v>
      </c>
    </row>
    <row r="30" spans="1:1" ht="35.1" customHeight="1" x14ac:dyDescent="0.45">
      <c r="A30" s="10" t="s">
        <v>576</v>
      </c>
    </row>
    <row r="31" spans="1:1" ht="35.1" customHeight="1" x14ac:dyDescent="0.45">
      <c r="A31" s="10" t="s">
        <v>577</v>
      </c>
    </row>
    <row r="32" spans="1:1" ht="35.1" customHeight="1" x14ac:dyDescent="0.45">
      <c r="A32" s="10" t="s">
        <v>575</v>
      </c>
    </row>
    <row r="33" spans="1:1" ht="35.1" customHeight="1" x14ac:dyDescent="0.45">
      <c r="A33" s="10" t="s">
        <v>578</v>
      </c>
    </row>
    <row r="34" spans="1:1" ht="35.1" customHeight="1" x14ac:dyDescent="0.45">
      <c r="A34" s="10" t="s">
        <v>579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8"/>
  <sheetViews>
    <sheetView workbookViewId="0">
      <selection activeCell="B3" sqref="B3"/>
    </sheetView>
  </sheetViews>
  <sheetFormatPr defaultRowHeight="45" customHeight="1" x14ac:dyDescent="0.25"/>
  <cols>
    <col min="1" max="1" width="38.42578125" customWidth="1"/>
    <col min="2" max="2" width="29.28515625" customWidth="1"/>
  </cols>
  <sheetData>
    <row r="1" spans="1:2" ht="45" customHeight="1" x14ac:dyDescent="0.45">
      <c r="A1" s="19" t="s">
        <v>558</v>
      </c>
      <c r="B1" s="19" t="s">
        <v>559</v>
      </c>
    </row>
    <row r="2" spans="1:2" ht="45" customHeight="1" x14ac:dyDescent="0.45">
      <c r="A2" s="19" t="s">
        <v>560</v>
      </c>
      <c r="B2" s="19">
        <v>60000</v>
      </c>
    </row>
    <row r="3" spans="1:2" ht="45" customHeight="1" x14ac:dyDescent="0.45">
      <c r="A3" s="19" t="s">
        <v>561</v>
      </c>
      <c r="B3" s="19">
        <v>8000</v>
      </c>
    </row>
    <row r="4" spans="1:2" ht="45" customHeight="1" x14ac:dyDescent="0.45">
      <c r="A4" s="19" t="s">
        <v>562</v>
      </c>
      <c r="B4" s="19">
        <v>30000</v>
      </c>
    </row>
    <row r="5" spans="1:2" ht="45" customHeight="1" x14ac:dyDescent="0.45">
      <c r="A5" s="19" t="s">
        <v>563</v>
      </c>
      <c r="B5" s="19">
        <v>6000</v>
      </c>
    </row>
    <row r="6" spans="1:2" ht="45" customHeight="1" x14ac:dyDescent="0.45">
      <c r="A6" s="19" t="s">
        <v>564</v>
      </c>
      <c r="B6" s="19">
        <v>7000</v>
      </c>
    </row>
    <row r="7" spans="1:2" ht="45" customHeight="1" x14ac:dyDescent="0.45">
      <c r="A7" s="19" t="s">
        <v>421</v>
      </c>
      <c r="B7" s="19">
        <v>3000</v>
      </c>
    </row>
    <row r="8" spans="1:2" ht="45" customHeight="1" x14ac:dyDescent="0.45">
      <c r="A8" s="19" t="s">
        <v>271</v>
      </c>
      <c r="B8" s="19">
        <f>SUM(B2:B7)</f>
        <v>114000</v>
      </c>
    </row>
  </sheetData>
  <scenarios current="1" sqref="B8">
    <scenario name="BEST" locked="1" count="6" user="PC-05" comment="Created by PC-05 on 12/4/2019">
      <inputCells r="B2" val="60000"/>
      <inputCells r="B3" val="5000"/>
      <inputCells r="B4" val="18000"/>
      <inputCells r="B5" val="4000"/>
      <inputCells r="B6" val="7000"/>
      <inputCells r="B7" val="3000"/>
    </scenario>
    <scenario name="WORST" locked="1" count="6" user="PC-05" comment="Created by PC-05 on 12/4/2019">
      <inputCells r="B2" val="80000"/>
      <inputCells r="B3" val="9000"/>
      <inputCells r="B4" val="30000"/>
      <inputCells r="B5" val="6000"/>
      <inputCells r="B6" val="10000"/>
      <inputCells r="B7" val="3000"/>
    </scenario>
  </scenario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0"/>
  <sheetViews>
    <sheetView workbookViewId="0">
      <selection activeCell="C1" sqref="C1"/>
    </sheetView>
  </sheetViews>
  <sheetFormatPr defaultRowHeight="39.950000000000003" customHeight="1" x14ac:dyDescent="0.45"/>
  <cols>
    <col min="1" max="4" width="25.7109375" style="10" customWidth="1"/>
    <col min="5" max="16384" width="9.140625" style="10"/>
  </cols>
  <sheetData>
    <row r="1" spans="1:4" ht="39.950000000000003" customHeight="1" x14ac:dyDescent="0.45">
      <c r="A1" s="10" t="s">
        <v>601</v>
      </c>
    </row>
    <row r="2" spans="1:4" ht="39.950000000000003" customHeight="1" x14ac:dyDescent="0.45">
      <c r="A2" s="27" t="s">
        <v>273</v>
      </c>
      <c r="B2" s="27" t="s">
        <v>580</v>
      </c>
      <c r="C2" s="27" t="s">
        <v>581</v>
      </c>
      <c r="D2" s="27" t="s">
        <v>96</v>
      </c>
    </row>
    <row r="3" spans="1:4" ht="39.950000000000003" customHeight="1" x14ac:dyDescent="0.45">
      <c r="A3" s="27" t="s">
        <v>582</v>
      </c>
      <c r="B3" s="27" t="s">
        <v>583</v>
      </c>
      <c r="C3" s="27">
        <v>1004</v>
      </c>
      <c r="D3" s="28">
        <v>12500</v>
      </c>
    </row>
    <row r="4" spans="1:4" ht="39.950000000000003" customHeight="1" x14ac:dyDescent="0.45">
      <c r="A4" s="27" t="s">
        <v>584</v>
      </c>
      <c r="B4" s="27" t="s">
        <v>585</v>
      </c>
      <c r="C4" s="27">
        <v>1005</v>
      </c>
      <c r="D4" s="28">
        <v>45000</v>
      </c>
    </row>
    <row r="5" spans="1:4" ht="39.950000000000003" customHeight="1" x14ac:dyDescent="0.45">
      <c r="A5" s="27" t="s">
        <v>586</v>
      </c>
      <c r="B5" s="27" t="s">
        <v>587</v>
      </c>
      <c r="C5" s="27">
        <v>1006</v>
      </c>
      <c r="D5" s="28">
        <v>23000</v>
      </c>
    </row>
    <row r="6" spans="1:4" ht="39.950000000000003" customHeight="1" x14ac:dyDescent="0.45">
      <c r="A6" s="27" t="s">
        <v>588</v>
      </c>
      <c r="B6" s="27" t="s">
        <v>589</v>
      </c>
      <c r="C6" s="27">
        <v>1007</v>
      </c>
      <c r="D6" s="28">
        <v>120000</v>
      </c>
    </row>
    <row r="7" spans="1:4" ht="39.950000000000003" customHeight="1" x14ac:dyDescent="0.45">
      <c r="A7" s="27" t="s">
        <v>590</v>
      </c>
      <c r="B7" s="27" t="s">
        <v>583</v>
      </c>
      <c r="C7" s="27">
        <v>1004</v>
      </c>
      <c r="D7" s="28">
        <v>43000</v>
      </c>
    </row>
    <row r="8" spans="1:4" ht="39.950000000000003" customHeight="1" x14ac:dyDescent="0.45">
      <c r="A8" s="27" t="s">
        <v>591</v>
      </c>
      <c r="B8" s="27" t="s">
        <v>589</v>
      </c>
      <c r="C8" s="27">
        <v>1007</v>
      </c>
      <c r="D8" s="28">
        <v>65000</v>
      </c>
    </row>
    <row r="9" spans="1:4" ht="39.950000000000003" customHeight="1" x14ac:dyDescent="0.45">
      <c r="A9" s="27" t="s">
        <v>592</v>
      </c>
      <c r="B9" s="27" t="s">
        <v>587</v>
      </c>
      <c r="C9" s="27">
        <v>1006</v>
      </c>
      <c r="D9" s="28">
        <v>5800</v>
      </c>
    </row>
    <row r="10" spans="1:4" ht="39.950000000000003" customHeight="1" x14ac:dyDescent="0.45">
      <c r="A10" s="27" t="s">
        <v>593</v>
      </c>
      <c r="B10" s="27" t="s">
        <v>585</v>
      </c>
      <c r="C10" s="27">
        <v>1005</v>
      </c>
      <c r="D10" s="28">
        <v>34000</v>
      </c>
    </row>
    <row r="12" spans="1:4" ht="39.950000000000003" customHeight="1" x14ac:dyDescent="0.45">
      <c r="A12" s="10" t="s">
        <v>598</v>
      </c>
    </row>
    <row r="13" spans="1:4" ht="39.950000000000003" customHeight="1" x14ac:dyDescent="0.45">
      <c r="A13" s="10" t="s">
        <v>594</v>
      </c>
    </row>
    <row r="14" spans="1:4" ht="39.950000000000003" customHeight="1" x14ac:dyDescent="0.45">
      <c r="A14" s="10" t="s">
        <v>595</v>
      </c>
    </row>
    <row r="15" spans="1:4" ht="39.950000000000003" customHeight="1" x14ac:dyDescent="0.45">
      <c r="A15" s="10" t="s">
        <v>599</v>
      </c>
    </row>
    <row r="16" spans="1:4" ht="39.950000000000003" customHeight="1" x14ac:dyDescent="0.45">
      <c r="A16" s="10" t="s">
        <v>594</v>
      </c>
    </row>
    <row r="17" spans="1:1" ht="39.950000000000003" customHeight="1" x14ac:dyDescent="0.45">
      <c r="A17" s="10" t="s">
        <v>596</v>
      </c>
    </row>
    <row r="18" spans="1:1" ht="39.950000000000003" customHeight="1" x14ac:dyDescent="0.45">
      <c r="A18" s="10" t="s">
        <v>600</v>
      </c>
    </row>
    <row r="19" spans="1:1" ht="39.950000000000003" customHeight="1" x14ac:dyDescent="0.45">
      <c r="A19" s="10" t="s">
        <v>594</v>
      </c>
    </row>
    <row r="20" spans="1:1" ht="39.950000000000003" customHeight="1" x14ac:dyDescent="0.45">
      <c r="A20" s="10" t="s">
        <v>597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39"/>
  <sheetViews>
    <sheetView topLeftCell="A36" workbookViewId="0">
      <selection activeCell="A44" sqref="A44"/>
    </sheetView>
  </sheetViews>
  <sheetFormatPr defaultRowHeight="39.950000000000003" customHeight="1" x14ac:dyDescent="0.45"/>
  <cols>
    <col min="1" max="16384" width="9.140625" style="10"/>
  </cols>
  <sheetData>
    <row r="1" spans="1:1" ht="39.950000000000003" customHeight="1" x14ac:dyDescent="0.45">
      <c r="A1" s="10" t="s">
        <v>602</v>
      </c>
    </row>
    <row r="2" spans="1:1" ht="39.950000000000003" customHeight="1" x14ac:dyDescent="0.45">
      <c r="A2" s="10" t="s">
        <v>603</v>
      </c>
    </row>
    <row r="3" spans="1:1" ht="39.950000000000003" customHeight="1" x14ac:dyDescent="0.45">
      <c r="A3" s="10" t="s">
        <v>604</v>
      </c>
    </row>
    <row r="4" spans="1:1" ht="39.950000000000003" customHeight="1" x14ac:dyDescent="0.45">
      <c r="A4" s="10" t="s">
        <v>605</v>
      </c>
    </row>
    <row r="5" spans="1:1" ht="39.950000000000003" customHeight="1" x14ac:dyDescent="0.45">
      <c r="A5" s="10" t="s">
        <v>606</v>
      </c>
    </row>
    <row r="6" spans="1:1" ht="39.950000000000003" customHeight="1" x14ac:dyDescent="0.45">
      <c r="A6" s="10" t="s">
        <v>607</v>
      </c>
    </row>
    <row r="7" spans="1:1" ht="39.950000000000003" customHeight="1" x14ac:dyDescent="0.45">
      <c r="A7" s="10" t="s">
        <v>608</v>
      </c>
    </row>
    <row r="8" spans="1:1" ht="39.950000000000003" customHeight="1" x14ac:dyDescent="0.45">
      <c r="A8" s="10" t="s">
        <v>609</v>
      </c>
    </row>
    <row r="9" spans="1:1" ht="39.950000000000003" customHeight="1" x14ac:dyDescent="0.45">
      <c r="A9" s="10" t="s">
        <v>610</v>
      </c>
    </row>
    <row r="11" spans="1:1" ht="39.950000000000003" customHeight="1" x14ac:dyDescent="0.45">
      <c r="A11" s="10" t="s">
        <v>611</v>
      </c>
    </row>
    <row r="12" spans="1:1" ht="39.950000000000003" customHeight="1" x14ac:dyDescent="0.45">
      <c r="A12" s="10" t="s">
        <v>612</v>
      </c>
    </row>
    <row r="13" spans="1:1" ht="39.950000000000003" customHeight="1" x14ac:dyDescent="0.45">
      <c r="A13" s="10" t="s">
        <v>613</v>
      </c>
    </row>
    <row r="14" spans="1:1" ht="39.950000000000003" customHeight="1" x14ac:dyDescent="0.45">
      <c r="A14" s="10" t="s">
        <v>614</v>
      </c>
    </row>
    <row r="15" spans="1:1" ht="39.950000000000003" customHeight="1" x14ac:dyDescent="0.45">
      <c r="A15" s="10" t="s">
        <v>615</v>
      </c>
    </row>
    <row r="16" spans="1:1" ht="39.950000000000003" customHeight="1" x14ac:dyDescent="0.45">
      <c r="A16" s="10" t="s">
        <v>616</v>
      </c>
    </row>
    <row r="17" spans="1:1" ht="39.950000000000003" customHeight="1" x14ac:dyDescent="0.45">
      <c r="A17" s="10" t="s">
        <v>617</v>
      </c>
    </row>
    <row r="19" spans="1:1" ht="39.950000000000003" customHeight="1" x14ac:dyDescent="0.45">
      <c r="A19" s="10" t="s">
        <v>618</v>
      </c>
    </row>
    <row r="20" spans="1:1" ht="39.950000000000003" customHeight="1" x14ac:dyDescent="0.45">
      <c r="A20" s="10" t="s">
        <v>619</v>
      </c>
    </row>
    <row r="21" spans="1:1" ht="39.950000000000003" customHeight="1" x14ac:dyDescent="0.45">
      <c r="A21" s="10" t="s">
        <v>620</v>
      </c>
    </row>
    <row r="23" spans="1:1" ht="39.950000000000003" customHeight="1" x14ac:dyDescent="0.45">
      <c r="A23" s="10" t="s">
        <v>621</v>
      </c>
    </row>
    <row r="24" spans="1:1" ht="39.950000000000003" customHeight="1" x14ac:dyDescent="0.45">
      <c r="A24" s="10" t="s">
        <v>615</v>
      </c>
    </row>
    <row r="25" spans="1:1" ht="39.950000000000003" customHeight="1" x14ac:dyDescent="0.45">
      <c r="A25" s="10" t="s">
        <v>622</v>
      </c>
    </row>
    <row r="26" spans="1:1" ht="39.950000000000003" customHeight="1" x14ac:dyDescent="0.45">
      <c r="A26" s="10" t="s">
        <v>623</v>
      </c>
    </row>
    <row r="28" spans="1:1" ht="39.950000000000003" customHeight="1" x14ac:dyDescent="0.45">
      <c r="A28" s="10" t="s">
        <v>618</v>
      </c>
    </row>
    <row r="29" spans="1:1" ht="39.950000000000003" customHeight="1" x14ac:dyDescent="0.45">
      <c r="A29" s="10" t="s">
        <v>624</v>
      </c>
    </row>
    <row r="30" spans="1:1" ht="39.950000000000003" customHeight="1" x14ac:dyDescent="0.45">
      <c r="A30" s="10" t="s">
        <v>625</v>
      </c>
    </row>
    <row r="32" spans="1:1" ht="39.950000000000003" customHeight="1" x14ac:dyDescent="0.45">
      <c r="A32" s="10" t="s">
        <v>626</v>
      </c>
    </row>
    <row r="33" spans="1:1" ht="39.950000000000003" customHeight="1" x14ac:dyDescent="0.45">
      <c r="A33" s="10" t="s">
        <v>615</v>
      </c>
    </row>
    <row r="34" spans="1:1" ht="39.950000000000003" customHeight="1" x14ac:dyDescent="0.45">
      <c r="A34" s="10" t="s">
        <v>627</v>
      </c>
    </row>
    <row r="35" spans="1:1" ht="39.950000000000003" customHeight="1" x14ac:dyDescent="0.45">
      <c r="A35" s="10" t="s">
        <v>628</v>
      </c>
    </row>
    <row r="37" spans="1:1" ht="39.950000000000003" customHeight="1" x14ac:dyDescent="0.45">
      <c r="A37" s="10" t="s">
        <v>618</v>
      </c>
    </row>
    <row r="38" spans="1:1" ht="39.950000000000003" customHeight="1" x14ac:dyDescent="0.45">
      <c r="A38" s="10" t="s">
        <v>629</v>
      </c>
    </row>
    <row r="39" spans="1:1" ht="39.950000000000003" customHeight="1" x14ac:dyDescent="0.45">
      <c r="A39" s="10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IF statement</vt:lpstr>
      <vt:lpstr>Nested IF</vt:lpstr>
      <vt:lpstr>Salary calculation</vt:lpstr>
      <vt:lpstr>wages</vt:lpstr>
      <vt:lpstr>salary</vt:lpstr>
      <vt:lpstr>marks</vt:lpstr>
      <vt:lpstr>IT Cal</vt:lpstr>
      <vt:lpstr>conditional FUNCTIONS</vt:lpstr>
      <vt:lpstr>string func</vt:lpstr>
      <vt:lpstr>date time functions</vt:lpstr>
      <vt:lpstr>LOOKUP</vt:lpstr>
      <vt:lpstr>vlookup example</vt:lpstr>
      <vt:lpstr>hlookup ex2</vt:lpstr>
      <vt:lpstr>HLOOKUP EXMAPLE</vt:lpstr>
      <vt:lpstr>charts</vt:lpstr>
      <vt:lpstr>solver</vt:lpstr>
      <vt:lpstr>solver example</vt:lpstr>
      <vt:lpstr>Goal Seek</vt:lpstr>
      <vt:lpstr>scenario</vt:lpstr>
      <vt:lpstr>scenario example</vt:lpstr>
      <vt:lpstr>FILTERS</vt:lpstr>
      <vt:lpstr>THEORY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Laxmi</cp:lastModifiedBy>
  <dcterms:created xsi:type="dcterms:W3CDTF">2017-11-20T14:41:23Z</dcterms:created>
  <dcterms:modified xsi:type="dcterms:W3CDTF">2025-01-18T13:59:20Z</dcterms:modified>
</cp:coreProperties>
</file>